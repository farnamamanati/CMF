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yofwestminster-my.sharepoint.com/personal/w1972926_westminster_ac_uk/Documents/computational methods for finance/"/>
    </mc:Choice>
  </mc:AlternateContent>
  <xr:revisionPtr revIDLastSave="28" documentId="8_{AFE58205-0ECA-4D99-AB70-0C6A952FE885}" xr6:coauthVersionLast="47" xr6:coauthVersionMax="47" xr10:uidLastSave="{625369EF-DCED-4E1B-A162-5270AF35398C}"/>
  <bookViews>
    <workbookView xWindow="-120" yWindow="-120" windowWidth="29040" windowHeight="15720" activeTab="3" xr2:uid="{38148577-CCFC-4AA1-8273-A3BDF40C0C3B}"/>
  </bookViews>
  <sheets>
    <sheet name="Microsoft" sheetId="2" r:id="rId1"/>
    <sheet name="Apple" sheetId="1" r:id="rId2"/>
    <sheet name="Nvidia" sheetId="3" r:id="rId3"/>
    <sheet name="Sheet1" sheetId="4" r:id="rId4"/>
  </sheets>
  <functionGroups builtInGroupCount="19"/>
  <definedNames>
    <definedName name="_xleta.SUM" hidden="1" xlm="1">#NAME?</definedName>
    <definedName name="solver_adj" localSheetId="3" hidden="1">Sheet1!$AL$18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Sheet1!$AL$8</definedName>
    <definedName name="solver_lhs2" localSheetId="3" hidden="1">Sheet1!$AL$8</definedName>
    <definedName name="solver_lhs3" localSheetId="3" hidden="1">Sheet1!$AM$8</definedName>
    <definedName name="solver_lhs4" localSheetId="3" hidden="1">Sheet1!$AM$8</definedName>
    <definedName name="solver_lhs5" localSheetId="3" hidden="1">Sheet1!$AN$8</definedName>
    <definedName name="solver_lhs6" localSheetId="3" hidden="1">Sheet1!$BD$16</definedName>
    <definedName name="solver_lhs7" localSheetId="3" hidden="1">Sheet1!$BE$16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5</definedName>
    <definedName name="solver_nwt" localSheetId="3" hidden="1">1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3</definedName>
    <definedName name="solver_rel3" localSheetId="3" hidden="1">1</definedName>
    <definedName name="solver_rel4" localSheetId="3" hidden="1">3</definedName>
    <definedName name="solver_rel5" localSheetId="3" hidden="1">2</definedName>
    <definedName name="solver_rel6" localSheetId="3" hidden="1">3</definedName>
    <definedName name="solver_rel7" localSheetId="3" hidden="1">2</definedName>
    <definedName name="solver_rhs1" localSheetId="3" hidden="1">1</definedName>
    <definedName name="solver_rhs2" localSheetId="3" hidden="1">0</definedName>
    <definedName name="solver_rhs3" localSheetId="3" hidden="1">1</definedName>
    <definedName name="solver_rhs4" localSheetId="3" hidden="1">0</definedName>
    <definedName name="solver_rhs5" localSheetId="3" hidden="1">1</definedName>
    <definedName name="solver_rhs6" localSheetId="3" hidden="1">0</definedName>
    <definedName name="solver_rhs7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3" i="4" l="1"/>
  <c r="AR2" i="4"/>
  <c r="AS3" i="4"/>
  <c r="AX2" i="4"/>
  <c r="AN15" i="4"/>
  <c r="AM15" i="4"/>
  <c r="AL11" i="4"/>
  <c r="AL15" i="4"/>
  <c r="AF11" i="4"/>
  <c r="AG2" i="4"/>
  <c r="H2" i="4"/>
  <c r="AN8" i="4" l="1"/>
  <c r="AI8" i="4" l="1"/>
  <c r="X128" i="4" l="1"/>
  <c r="X127" i="4"/>
  <c r="X126" i="4"/>
  <c r="X125" i="4"/>
  <c r="X124" i="4"/>
  <c r="X123" i="4"/>
  <c r="X122" i="4"/>
  <c r="X121" i="4"/>
  <c r="X120" i="4"/>
  <c r="X119" i="4"/>
  <c r="X118" i="4"/>
  <c r="X117" i="4"/>
  <c r="X116" i="4"/>
  <c r="X115" i="4"/>
  <c r="X114" i="4"/>
  <c r="X113" i="4"/>
  <c r="X112" i="4"/>
  <c r="X111" i="4"/>
  <c r="X110" i="4"/>
  <c r="X109" i="4"/>
  <c r="X108" i="4"/>
  <c r="X107" i="4"/>
  <c r="X106" i="4"/>
  <c r="X105" i="4"/>
  <c r="X104" i="4"/>
  <c r="X103" i="4"/>
  <c r="X102" i="4"/>
  <c r="X101" i="4"/>
  <c r="X100" i="4"/>
  <c r="X99" i="4"/>
  <c r="X98" i="4"/>
  <c r="X97" i="4"/>
  <c r="X96" i="4"/>
  <c r="X95" i="4"/>
  <c r="X94" i="4"/>
  <c r="X93" i="4"/>
  <c r="X92" i="4"/>
  <c r="X91" i="4"/>
  <c r="X90" i="4"/>
  <c r="X89" i="4"/>
  <c r="X88" i="4"/>
  <c r="X87" i="4"/>
  <c r="X86" i="4"/>
  <c r="X85" i="4"/>
  <c r="X84" i="4"/>
  <c r="X83" i="4"/>
  <c r="X82" i="4"/>
  <c r="X81" i="4"/>
  <c r="X80" i="4"/>
  <c r="X79" i="4"/>
  <c r="X78" i="4"/>
  <c r="X77" i="4"/>
  <c r="X76" i="4"/>
  <c r="X75" i="4"/>
  <c r="X74" i="4"/>
  <c r="X73" i="4"/>
  <c r="X72" i="4"/>
  <c r="X71" i="4"/>
  <c r="X70" i="4"/>
  <c r="X69" i="4"/>
  <c r="X68" i="4"/>
  <c r="X67" i="4"/>
  <c r="X66" i="4"/>
  <c r="X65" i="4"/>
  <c r="X64" i="4"/>
  <c r="X63" i="4"/>
  <c r="X62" i="4"/>
  <c r="X61" i="4"/>
  <c r="X60" i="4"/>
  <c r="X59" i="4"/>
  <c r="X58" i="4"/>
  <c r="X57" i="4"/>
  <c r="X56" i="4"/>
  <c r="X55" i="4"/>
  <c r="X54" i="4"/>
  <c r="X53" i="4"/>
  <c r="X52" i="4"/>
  <c r="X51" i="4"/>
  <c r="X50" i="4"/>
  <c r="X49" i="4"/>
  <c r="X48" i="4"/>
  <c r="X47" i="4"/>
  <c r="X46" i="4"/>
  <c r="X45" i="4"/>
  <c r="X44" i="4"/>
  <c r="X43" i="4"/>
  <c r="X42" i="4"/>
  <c r="X41" i="4"/>
  <c r="X40" i="4"/>
  <c r="X39" i="4"/>
  <c r="X38" i="4"/>
  <c r="X37" i="4"/>
  <c r="X36" i="4"/>
  <c r="X35" i="4"/>
  <c r="X34" i="4"/>
  <c r="X33" i="4"/>
  <c r="X32" i="4"/>
  <c r="X31" i="4"/>
  <c r="X30" i="4"/>
  <c r="X29" i="4"/>
  <c r="X28" i="4"/>
  <c r="X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12" i="4"/>
  <c r="X11" i="4"/>
  <c r="X10" i="4"/>
  <c r="X9" i="4"/>
  <c r="X8" i="4"/>
  <c r="X7" i="4"/>
  <c r="X6" i="4"/>
  <c r="X5" i="4"/>
  <c r="X4" i="4"/>
  <c r="X3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F2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E2" i="1" a="1"/>
  <c r="E2" i="2" a="1"/>
  <c r="E2" i="3" a="1"/>
  <c r="G2" i="4" a="1"/>
  <c r="Q2" i="4" a="1"/>
  <c r="F2" i="4" a="1"/>
  <c r="AA2" i="4" a="1"/>
  <c r="P2" i="4" a="1"/>
  <c r="Z2" i="4" a="1"/>
  <c r="AA2" i="4" l="1"/>
  <c r="Q2" i="4"/>
  <c r="G2" i="4"/>
  <c r="AB2" i="4"/>
  <c r="AC2" i="4" s="1"/>
  <c r="AI4" i="4"/>
  <c r="AN3" i="4" s="1"/>
  <c r="O2" i="4"/>
  <c r="R2" i="4"/>
  <c r="AH3" i="4"/>
  <c r="AM2" i="4" s="1"/>
  <c r="AI3" i="4"/>
  <c r="AN2" i="4" s="1"/>
  <c r="AM3" i="4" s="1"/>
  <c r="AH4" i="4"/>
  <c r="AI2" i="4"/>
  <c r="AG4" i="4" s="1"/>
  <c r="AH2" i="4"/>
  <c r="AG3" i="4" s="1"/>
  <c r="Y2" i="4"/>
  <c r="Z2" i="4"/>
  <c r="P2" i="4"/>
  <c r="E2" i="4"/>
  <c r="F2" i="4"/>
  <c r="E2" i="3"/>
  <c r="E2" i="1"/>
  <c r="E2" i="2"/>
  <c r="C5" i="2"/>
  <c r="C4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3" i="2"/>
  <c r="C9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3" i="1"/>
  <c r="S2" i="4" l="1"/>
  <c r="I2" i="4"/>
  <c r="AF15" i="4"/>
  <c r="AH15" i="4" s="1"/>
  <c r="AG15" i="4"/>
  <c r="AI15" i="4" s="1"/>
  <c r="AO15" i="4"/>
  <c r="D2" i="1"/>
  <c r="F2" i="1" s="1"/>
  <c r="D2" i="2"/>
  <c r="F2" i="2" s="1"/>
  <c r="AL18" i="4" l="1"/>
  <c r="AT2" i="4" l="1"/>
  <c r="AS2" i="4"/>
  <c r="AU3" i="4"/>
  <c r="AT3" i="4"/>
  <c r="AU2" i="4"/>
  <c r="AW3" i="4"/>
  <c r="AX3" i="4"/>
  <c r="AW2" i="4"/>
  <c r="AV2" i="4" l="1"/>
  <c r="AV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<sst xmlns="http://schemas.openxmlformats.org/spreadsheetml/2006/main" count="89" uniqueCount="38">
  <si>
    <t>Date</t>
  </si>
  <si>
    <t>Last Price</t>
  </si>
  <si>
    <t>CAGR</t>
  </si>
  <si>
    <t>Microsoft</t>
  </si>
  <si>
    <t>Apple</t>
  </si>
  <si>
    <t>Daily Volatility</t>
  </si>
  <si>
    <t>Daily Return</t>
  </si>
  <si>
    <t>Annualised Volatility</t>
  </si>
  <si>
    <t>Nvidia</t>
  </si>
  <si>
    <t>Covariance Matrix</t>
  </si>
  <si>
    <t>W1</t>
  </si>
  <si>
    <t>W2</t>
  </si>
  <si>
    <t>W3</t>
  </si>
  <si>
    <t>SUM</t>
  </si>
  <si>
    <t>Variance</t>
  </si>
  <si>
    <t>Avarage Daily Return</t>
  </si>
  <si>
    <t>Vol_P</t>
  </si>
  <si>
    <t>Expected Return</t>
  </si>
  <si>
    <t>Annualised Expected Return</t>
  </si>
  <si>
    <t>Annualised Vol_P</t>
  </si>
  <si>
    <t>Annualised expected return</t>
  </si>
  <si>
    <t>Q4</t>
  </si>
  <si>
    <t>Sharpe Ratio</t>
  </si>
  <si>
    <t>Risk free rate</t>
  </si>
  <si>
    <t>ORP Annualised Expected Return</t>
  </si>
  <si>
    <t>ORP Annualised Vol_P</t>
  </si>
  <si>
    <t>Q7</t>
  </si>
  <si>
    <t>A=3</t>
  </si>
  <si>
    <t>A=10</t>
  </si>
  <si>
    <t>Expected return of OCP</t>
  </si>
  <si>
    <t>Volatility of OCP</t>
  </si>
  <si>
    <t>Cumpute OCP</t>
  </si>
  <si>
    <t>W_ risk free</t>
  </si>
  <si>
    <t>OCP W1</t>
  </si>
  <si>
    <t>OCP W2</t>
  </si>
  <si>
    <t>Total</t>
  </si>
  <si>
    <t>Q6</t>
  </si>
  <si>
    <t>Q3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</si>
</sst>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000%"/>
    <numFmt numFmtId="166" formatCode="0.0000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3DF29-5B8E-4F8B-B41C-0D1332CAE4EC}">
  <sheetPr codeName="Sheet2"/>
  <dimension ref="A1:K128"/>
  <sheetViews>
    <sheetView workbookViewId="0">
      <selection activeCell="H8" sqref="H8"/>
    </sheetView>
  </sheetViews>
  <sheetFormatPr defaultColWidth="8.85546875" defaultRowHeight="15" x14ac:dyDescent="0.25"/>
  <cols>
    <col min="1" max="1" width="10.42578125" bestFit="1" customWidth="1"/>
    <col min="2" max="2" width="9.140625" bestFit="1" customWidth="1"/>
    <col min="3" max="3" width="12.42578125" bestFit="1" customWidth="1"/>
    <col min="4" max="4" width="13.7109375" bestFit="1" customWidth="1"/>
    <col min="5" max="5" width="9.85546875" customWidth="1"/>
    <col min="6" max="6" width="19.42578125" bestFit="1" customWidth="1"/>
    <col min="7" max="9" width="23.85546875" customWidth="1"/>
    <col min="10" max="10" width="30.5703125" customWidth="1"/>
    <col min="11" max="11" width="21.42578125" customWidth="1"/>
  </cols>
  <sheetData>
    <row r="1" spans="1:11" x14ac:dyDescent="0.25">
      <c r="A1" t="s">
        <v>0</v>
      </c>
      <c r="B1" t="s">
        <v>1</v>
      </c>
      <c r="C1" t="s">
        <v>6</v>
      </c>
      <c r="D1" s="4" t="s">
        <v>5</v>
      </c>
      <c r="E1" t="s">
        <v>2</v>
      </c>
      <c r="F1" t="s">
        <v>7</v>
      </c>
    </row>
    <row r="2" spans="1:11" x14ac:dyDescent="0.25">
      <c r="A2" s="1">
        <v>45523</v>
      </c>
      <c r="B2">
        <v>421.53</v>
      </c>
      <c r="D2">
        <f>_xlfn.STDEV.S(C3:C128)</f>
        <v>1.3930023583071362E-2</v>
      </c>
      <c r="E2" s="3" cm="1">
        <f t="array" ref="E2">CalculateCAGR(B3,B128,1)</f>
        <v>-2.0409604519774027E-2</v>
      </c>
      <c r="F2">
        <f>D2*SQRT(252)</f>
        <v>0.22113226894843033</v>
      </c>
    </row>
    <row r="3" spans="1:11" x14ac:dyDescent="0.25">
      <c r="A3" s="1">
        <v>45524</v>
      </c>
      <c r="B3">
        <v>424.8</v>
      </c>
      <c r="C3">
        <f>LN(B3/B2)</f>
        <v>7.7275206413707194E-3</v>
      </c>
      <c r="K3" s="3"/>
    </row>
    <row r="4" spans="1:11" x14ac:dyDescent="0.25">
      <c r="A4" s="1">
        <v>45525</v>
      </c>
      <c r="B4">
        <v>424.14</v>
      </c>
      <c r="C4">
        <f t="shared" ref="C4:C67" si="0">LN(B4/B3)</f>
        <v>-1.5548805168114723E-3</v>
      </c>
    </row>
    <row r="5" spans="1:11" x14ac:dyDescent="0.25">
      <c r="A5" s="1">
        <v>45526</v>
      </c>
      <c r="B5">
        <v>415.55</v>
      </c>
      <c r="C5">
        <f>LN(B5/B4)</f>
        <v>-2.0460645411882226E-2</v>
      </c>
    </row>
    <row r="6" spans="1:11" x14ac:dyDescent="0.25">
      <c r="A6" s="1">
        <v>45527</v>
      </c>
      <c r="B6">
        <v>416.79</v>
      </c>
      <c r="C6">
        <f t="shared" si="0"/>
        <v>2.9795538298447027E-3</v>
      </c>
    </row>
    <row r="7" spans="1:11" x14ac:dyDescent="0.25">
      <c r="A7" s="1">
        <v>45530</v>
      </c>
      <c r="B7">
        <v>413.49</v>
      </c>
      <c r="C7">
        <f t="shared" si="0"/>
        <v>-7.9491674544228709E-3</v>
      </c>
    </row>
    <row r="8" spans="1:11" x14ac:dyDescent="0.25">
      <c r="A8" s="1">
        <v>45531</v>
      </c>
      <c r="B8">
        <v>413.84</v>
      </c>
      <c r="C8">
        <f t="shared" si="0"/>
        <v>8.4609532080240444E-4</v>
      </c>
    </row>
    <row r="9" spans="1:11" x14ac:dyDescent="0.25">
      <c r="A9" s="1">
        <v>45532</v>
      </c>
      <c r="B9">
        <v>410.6</v>
      </c>
      <c r="C9">
        <f t="shared" si="0"/>
        <v>-7.8599211104263648E-3</v>
      </c>
    </row>
    <row r="10" spans="1:11" x14ac:dyDescent="0.25">
      <c r="A10" s="1">
        <v>45533</v>
      </c>
      <c r="B10">
        <v>413.12</v>
      </c>
      <c r="C10">
        <f t="shared" si="0"/>
        <v>6.1186030734444426E-3</v>
      </c>
    </row>
    <row r="11" spans="1:11" x14ac:dyDescent="0.25">
      <c r="A11" s="1">
        <v>45534</v>
      </c>
      <c r="B11">
        <v>417.14</v>
      </c>
      <c r="C11">
        <f t="shared" si="0"/>
        <v>9.6837892102111817E-3</v>
      </c>
    </row>
    <row r="12" spans="1:11" x14ac:dyDescent="0.25">
      <c r="A12" s="1">
        <v>45538</v>
      </c>
      <c r="B12">
        <v>409.44</v>
      </c>
      <c r="C12">
        <f t="shared" si="0"/>
        <v>-1.8631524457010256E-2</v>
      </c>
    </row>
    <row r="13" spans="1:11" x14ac:dyDescent="0.25">
      <c r="A13" s="1">
        <v>45539</v>
      </c>
      <c r="B13">
        <v>408.9</v>
      </c>
      <c r="C13">
        <f t="shared" si="0"/>
        <v>-1.3197450408820716E-3</v>
      </c>
    </row>
    <row r="14" spans="1:11" x14ac:dyDescent="0.25">
      <c r="A14" s="1">
        <v>45540</v>
      </c>
      <c r="B14">
        <v>408.39</v>
      </c>
      <c r="C14">
        <f t="shared" si="0"/>
        <v>-1.2480271781052238E-3</v>
      </c>
    </row>
    <row r="15" spans="1:11" x14ac:dyDescent="0.25">
      <c r="A15" s="1">
        <v>45541</v>
      </c>
      <c r="B15">
        <v>401.7</v>
      </c>
      <c r="C15">
        <f t="shared" si="0"/>
        <v>-1.6517058827254908E-2</v>
      </c>
    </row>
    <row r="16" spans="1:11" x14ac:dyDescent="0.25">
      <c r="A16" s="1">
        <v>45544</v>
      </c>
      <c r="B16">
        <v>405.72</v>
      </c>
      <c r="C16">
        <f t="shared" si="0"/>
        <v>9.9577251425585992E-3</v>
      </c>
    </row>
    <row r="17" spans="1:3" x14ac:dyDescent="0.25">
      <c r="A17" s="1">
        <v>45545</v>
      </c>
      <c r="B17">
        <v>414.2</v>
      </c>
      <c r="C17">
        <f t="shared" si="0"/>
        <v>2.0685682453688709E-2</v>
      </c>
    </row>
    <row r="18" spans="1:3" x14ac:dyDescent="0.25">
      <c r="A18" s="1">
        <v>45546</v>
      </c>
      <c r="B18">
        <v>423.04</v>
      </c>
      <c r="C18">
        <f t="shared" si="0"/>
        <v>2.1117788261783055E-2</v>
      </c>
    </row>
    <row r="19" spans="1:3" x14ac:dyDescent="0.25">
      <c r="A19" s="1">
        <v>45547</v>
      </c>
      <c r="B19">
        <v>427</v>
      </c>
      <c r="C19">
        <f t="shared" si="0"/>
        <v>9.317276005357816E-3</v>
      </c>
    </row>
    <row r="20" spans="1:3" x14ac:dyDescent="0.25">
      <c r="A20" s="1">
        <v>45548</v>
      </c>
      <c r="B20">
        <v>430.59</v>
      </c>
      <c r="C20">
        <f t="shared" si="0"/>
        <v>8.3723480227740621E-3</v>
      </c>
    </row>
    <row r="21" spans="1:3" x14ac:dyDescent="0.25">
      <c r="A21" s="1">
        <v>45551</v>
      </c>
      <c r="B21">
        <v>431.34</v>
      </c>
      <c r="C21">
        <f t="shared" si="0"/>
        <v>1.7402809724365456E-3</v>
      </c>
    </row>
    <row r="22" spans="1:3" x14ac:dyDescent="0.25">
      <c r="A22" s="1">
        <v>45552</v>
      </c>
      <c r="B22">
        <v>435.15</v>
      </c>
      <c r="C22">
        <f t="shared" si="0"/>
        <v>8.7941570116875194E-3</v>
      </c>
    </row>
    <row r="23" spans="1:3" x14ac:dyDescent="0.25">
      <c r="A23" s="1">
        <v>45553</v>
      </c>
      <c r="B23">
        <v>430.81</v>
      </c>
      <c r="C23">
        <f t="shared" si="0"/>
        <v>-1.0023641595028616E-2</v>
      </c>
    </row>
    <row r="24" spans="1:3" x14ac:dyDescent="0.25">
      <c r="A24" s="1">
        <v>45554</v>
      </c>
      <c r="B24">
        <v>438.69</v>
      </c>
      <c r="C24">
        <f t="shared" si="0"/>
        <v>1.8125855651403351E-2</v>
      </c>
    </row>
    <row r="25" spans="1:3" x14ac:dyDescent="0.25">
      <c r="A25" s="1">
        <v>45555</v>
      </c>
      <c r="B25">
        <v>435.27</v>
      </c>
      <c r="C25">
        <f t="shared" si="0"/>
        <v>-7.8264850961940139E-3</v>
      </c>
    </row>
    <row r="26" spans="1:3" x14ac:dyDescent="0.25">
      <c r="A26" s="1">
        <v>45558</v>
      </c>
      <c r="B26">
        <v>433.51</v>
      </c>
      <c r="C26">
        <f t="shared" si="0"/>
        <v>-4.051664190420563E-3</v>
      </c>
    </row>
    <row r="27" spans="1:3" x14ac:dyDescent="0.25">
      <c r="A27" s="1">
        <v>45559</v>
      </c>
      <c r="B27">
        <v>429.17</v>
      </c>
      <c r="C27">
        <f t="shared" si="0"/>
        <v>-1.0061753175372987E-2</v>
      </c>
    </row>
    <row r="28" spans="1:3" x14ac:dyDescent="0.25">
      <c r="A28" s="1">
        <v>45560</v>
      </c>
      <c r="B28">
        <v>432.11</v>
      </c>
      <c r="C28">
        <f t="shared" si="0"/>
        <v>6.8270746312079078E-3</v>
      </c>
    </row>
    <row r="29" spans="1:3" x14ac:dyDescent="0.25">
      <c r="A29" s="1">
        <v>45561</v>
      </c>
      <c r="B29">
        <v>431.31</v>
      </c>
      <c r="C29">
        <f t="shared" si="0"/>
        <v>-1.8530963585069932E-3</v>
      </c>
    </row>
    <row r="30" spans="1:3" x14ac:dyDescent="0.25">
      <c r="A30" s="1">
        <v>45562</v>
      </c>
      <c r="B30">
        <v>428.02</v>
      </c>
      <c r="C30">
        <f t="shared" si="0"/>
        <v>-7.6571656406158482E-3</v>
      </c>
    </row>
    <row r="31" spans="1:3" x14ac:dyDescent="0.25">
      <c r="A31" s="1">
        <v>45565</v>
      </c>
      <c r="B31">
        <v>430.3</v>
      </c>
      <c r="C31">
        <f t="shared" si="0"/>
        <v>5.3127163825590863E-3</v>
      </c>
    </row>
    <row r="32" spans="1:3" x14ac:dyDescent="0.25">
      <c r="A32" s="1">
        <v>45566</v>
      </c>
      <c r="B32">
        <v>420.69</v>
      </c>
      <c r="C32">
        <f t="shared" si="0"/>
        <v>-2.2586419437884826E-2</v>
      </c>
    </row>
    <row r="33" spans="1:3" x14ac:dyDescent="0.25">
      <c r="A33" s="1">
        <v>45567</v>
      </c>
      <c r="B33">
        <v>417.13</v>
      </c>
      <c r="C33">
        <f t="shared" si="0"/>
        <v>-8.4982965924682314E-3</v>
      </c>
    </row>
    <row r="34" spans="1:3" x14ac:dyDescent="0.25">
      <c r="A34" s="1">
        <v>45568</v>
      </c>
      <c r="B34">
        <v>416.54</v>
      </c>
      <c r="C34">
        <f t="shared" si="0"/>
        <v>-1.415428403330617E-3</v>
      </c>
    </row>
    <row r="35" spans="1:3" x14ac:dyDescent="0.25">
      <c r="A35" s="1">
        <v>45569</v>
      </c>
      <c r="B35">
        <v>416.06</v>
      </c>
      <c r="C35">
        <f t="shared" si="0"/>
        <v>-1.1530147806335601E-3</v>
      </c>
    </row>
    <row r="36" spans="1:3" x14ac:dyDescent="0.25">
      <c r="A36" s="1">
        <v>45572</v>
      </c>
      <c r="B36">
        <v>409.54</v>
      </c>
      <c r="C36">
        <f t="shared" si="0"/>
        <v>-1.5794902009822458E-2</v>
      </c>
    </row>
    <row r="37" spans="1:3" x14ac:dyDescent="0.25">
      <c r="A37" s="1">
        <v>45573</v>
      </c>
      <c r="B37">
        <v>414.71</v>
      </c>
      <c r="C37">
        <f t="shared" si="0"/>
        <v>1.2544902158405345E-2</v>
      </c>
    </row>
    <row r="38" spans="1:3" x14ac:dyDescent="0.25">
      <c r="A38" s="1">
        <v>45574</v>
      </c>
      <c r="B38">
        <v>417.46</v>
      </c>
      <c r="C38">
        <f t="shared" si="0"/>
        <v>6.6092505389408794E-3</v>
      </c>
    </row>
    <row r="39" spans="1:3" x14ac:dyDescent="0.25">
      <c r="A39" s="1">
        <v>45575</v>
      </c>
      <c r="B39">
        <v>415.84</v>
      </c>
      <c r="C39">
        <f t="shared" si="0"/>
        <v>-3.8881604245801747E-3</v>
      </c>
    </row>
    <row r="40" spans="1:3" x14ac:dyDescent="0.25">
      <c r="A40" s="1">
        <v>45576</v>
      </c>
      <c r="B40">
        <v>416.32</v>
      </c>
      <c r="C40">
        <f t="shared" si="0"/>
        <v>1.1536244309604711E-3</v>
      </c>
    </row>
    <row r="41" spans="1:3" x14ac:dyDescent="0.25">
      <c r="A41" s="1">
        <v>45579</v>
      </c>
      <c r="B41">
        <v>419.14</v>
      </c>
      <c r="C41">
        <f t="shared" si="0"/>
        <v>6.7507976676563454E-3</v>
      </c>
    </row>
    <row r="42" spans="1:3" x14ac:dyDescent="0.25">
      <c r="A42" s="1">
        <v>45580</v>
      </c>
      <c r="B42">
        <v>418.74</v>
      </c>
      <c r="C42">
        <f t="shared" si="0"/>
        <v>-9.5479073468157682E-4</v>
      </c>
    </row>
    <row r="43" spans="1:3" x14ac:dyDescent="0.25">
      <c r="A43" s="1">
        <v>45581</v>
      </c>
      <c r="B43">
        <v>416.12</v>
      </c>
      <c r="C43">
        <f t="shared" si="0"/>
        <v>-6.2765220544207835E-3</v>
      </c>
    </row>
    <row r="44" spans="1:3" x14ac:dyDescent="0.25">
      <c r="A44" s="1">
        <v>45582</v>
      </c>
      <c r="B44">
        <v>416.72</v>
      </c>
      <c r="C44">
        <f t="shared" si="0"/>
        <v>1.4408532342417256E-3</v>
      </c>
    </row>
    <row r="45" spans="1:3" x14ac:dyDescent="0.25">
      <c r="A45" s="1">
        <v>45583</v>
      </c>
      <c r="B45">
        <v>418.16</v>
      </c>
      <c r="C45">
        <f t="shared" si="0"/>
        <v>3.4496009677303843E-3</v>
      </c>
    </row>
    <row r="46" spans="1:3" x14ac:dyDescent="0.25">
      <c r="A46" s="1">
        <v>45586</v>
      </c>
      <c r="B46">
        <v>418.78</v>
      </c>
      <c r="C46">
        <f t="shared" si="0"/>
        <v>1.4815879595039864E-3</v>
      </c>
    </row>
    <row r="47" spans="1:3" x14ac:dyDescent="0.25">
      <c r="A47" s="1">
        <v>45587</v>
      </c>
      <c r="B47">
        <v>427.51</v>
      </c>
      <c r="C47">
        <f t="shared" si="0"/>
        <v>2.0631957551925872E-2</v>
      </c>
    </row>
    <row r="48" spans="1:3" x14ac:dyDescent="0.25">
      <c r="A48" s="1">
        <v>45588</v>
      </c>
      <c r="B48">
        <v>424.6</v>
      </c>
      <c r="C48">
        <f t="shared" si="0"/>
        <v>-6.8301306469403964E-3</v>
      </c>
    </row>
    <row r="49" spans="1:3" x14ac:dyDescent="0.25">
      <c r="A49" s="1">
        <v>45589</v>
      </c>
      <c r="B49">
        <v>424.73</v>
      </c>
      <c r="C49">
        <f t="shared" si="0"/>
        <v>3.0612365279741416E-4</v>
      </c>
    </row>
    <row r="50" spans="1:3" x14ac:dyDescent="0.25">
      <c r="A50" s="1">
        <v>45590</v>
      </c>
      <c r="B50">
        <v>428.15</v>
      </c>
      <c r="C50">
        <f t="shared" si="0"/>
        <v>8.0199285502477527E-3</v>
      </c>
    </row>
    <row r="51" spans="1:3" x14ac:dyDescent="0.25">
      <c r="A51" s="1">
        <v>45593</v>
      </c>
      <c r="B51">
        <v>426.59</v>
      </c>
      <c r="C51">
        <f t="shared" si="0"/>
        <v>-3.6502368723809321E-3</v>
      </c>
    </row>
    <row r="52" spans="1:3" x14ac:dyDescent="0.25">
      <c r="A52" s="1">
        <v>45594</v>
      </c>
      <c r="B52">
        <v>431.95</v>
      </c>
      <c r="C52">
        <f t="shared" si="0"/>
        <v>1.2486476205073024E-2</v>
      </c>
    </row>
    <row r="53" spans="1:3" x14ac:dyDescent="0.25">
      <c r="A53" s="1">
        <v>45595</v>
      </c>
      <c r="B53">
        <v>432.53</v>
      </c>
      <c r="C53">
        <f t="shared" si="0"/>
        <v>1.3418473233082768E-3</v>
      </c>
    </row>
    <row r="54" spans="1:3" x14ac:dyDescent="0.25">
      <c r="A54" s="1">
        <v>45596</v>
      </c>
      <c r="B54">
        <v>406.35</v>
      </c>
      <c r="C54">
        <f t="shared" si="0"/>
        <v>-6.2436830928987566E-2</v>
      </c>
    </row>
    <row r="55" spans="1:3" x14ac:dyDescent="0.25">
      <c r="A55" s="1">
        <v>45597</v>
      </c>
      <c r="B55">
        <v>410.37</v>
      </c>
      <c r="C55">
        <f t="shared" si="0"/>
        <v>9.8443345702487126E-3</v>
      </c>
    </row>
    <row r="56" spans="1:3" x14ac:dyDescent="0.25">
      <c r="A56" s="1">
        <v>45600</v>
      </c>
      <c r="B56">
        <v>408.46</v>
      </c>
      <c r="C56">
        <f t="shared" si="0"/>
        <v>-4.6652014804508526E-3</v>
      </c>
    </row>
    <row r="57" spans="1:3" x14ac:dyDescent="0.25">
      <c r="A57" s="1">
        <v>45601</v>
      </c>
      <c r="B57">
        <v>411.46</v>
      </c>
      <c r="C57">
        <f t="shared" si="0"/>
        <v>7.3178197570728321E-3</v>
      </c>
    </row>
    <row r="58" spans="1:3" x14ac:dyDescent="0.25">
      <c r="A58" s="1">
        <v>45602</v>
      </c>
      <c r="B58">
        <v>420.18</v>
      </c>
      <c r="C58">
        <f t="shared" si="0"/>
        <v>2.0971380849396815E-2</v>
      </c>
    </row>
    <row r="59" spans="1:3" x14ac:dyDescent="0.25">
      <c r="A59" s="1">
        <v>45603</v>
      </c>
      <c r="B59">
        <v>425.43</v>
      </c>
      <c r="C59">
        <f t="shared" si="0"/>
        <v>1.2417231245883099E-2</v>
      </c>
    </row>
    <row r="60" spans="1:3" x14ac:dyDescent="0.25">
      <c r="A60" s="1">
        <v>45604</v>
      </c>
      <c r="B60">
        <v>422.54</v>
      </c>
      <c r="C60">
        <f t="shared" si="0"/>
        <v>-6.8163052692757501E-3</v>
      </c>
    </row>
    <row r="61" spans="1:3" x14ac:dyDescent="0.25">
      <c r="A61" s="1">
        <v>45607</v>
      </c>
      <c r="B61">
        <v>418.01</v>
      </c>
      <c r="C61">
        <f t="shared" si="0"/>
        <v>-1.0778761188517328E-2</v>
      </c>
    </row>
    <row r="62" spans="1:3" x14ac:dyDescent="0.25">
      <c r="A62" s="1">
        <v>45608</v>
      </c>
      <c r="B62">
        <v>423.03</v>
      </c>
      <c r="C62">
        <f t="shared" si="0"/>
        <v>1.1937742833676979E-2</v>
      </c>
    </row>
    <row r="63" spans="1:3" x14ac:dyDescent="0.25">
      <c r="A63" s="1">
        <v>45609</v>
      </c>
      <c r="B63">
        <v>425.2</v>
      </c>
      <c r="C63">
        <f t="shared" si="0"/>
        <v>5.1165479505444512E-3</v>
      </c>
    </row>
    <row r="64" spans="1:3" x14ac:dyDescent="0.25">
      <c r="A64" s="1">
        <v>45610</v>
      </c>
      <c r="B64">
        <v>426.89</v>
      </c>
      <c r="C64">
        <f t="shared" si="0"/>
        <v>3.9667223321382299E-3</v>
      </c>
    </row>
    <row r="65" spans="1:3" x14ac:dyDescent="0.25">
      <c r="A65" s="1">
        <v>45611</v>
      </c>
      <c r="B65">
        <v>415</v>
      </c>
      <c r="C65">
        <f t="shared" si="0"/>
        <v>-2.8247848569232886E-2</v>
      </c>
    </row>
    <row r="66" spans="1:3" x14ac:dyDescent="0.25">
      <c r="A66" s="1">
        <v>45614</v>
      </c>
      <c r="B66">
        <v>415.76</v>
      </c>
      <c r="C66">
        <f t="shared" si="0"/>
        <v>1.8296504694880775E-3</v>
      </c>
    </row>
    <row r="67" spans="1:3" x14ac:dyDescent="0.25">
      <c r="A67" s="1">
        <v>45615</v>
      </c>
      <c r="B67">
        <v>417.79</v>
      </c>
      <c r="C67">
        <f t="shared" si="0"/>
        <v>4.8707432387547949E-3</v>
      </c>
    </row>
    <row r="68" spans="1:3" x14ac:dyDescent="0.25">
      <c r="A68" s="1">
        <v>45616</v>
      </c>
      <c r="B68">
        <v>415.49</v>
      </c>
      <c r="C68">
        <f t="shared" ref="C68:C128" si="1">LN(B68/B67)</f>
        <v>-5.5203673217509306E-3</v>
      </c>
    </row>
    <row r="69" spans="1:3" x14ac:dyDescent="0.25">
      <c r="A69" s="1">
        <v>45617</v>
      </c>
      <c r="B69">
        <v>412.87</v>
      </c>
      <c r="C69">
        <f t="shared" si="1"/>
        <v>-6.3257731824115397E-3</v>
      </c>
    </row>
    <row r="70" spans="1:3" x14ac:dyDescent="0.25">
      <c r="A70" s="1">
        <v>45618</v>
      </c>
      <c r="B70">
        <v>417</v>
      </c>
      <c r="C70">
        <f t="shared" si="1"/>
        <v>9.9534483640226559E-3</v>
      </c>
    </row>
    <row r="71" spans="1:3" x14ac:dyDescent="0.25">
      <c r="A71" s="1">
        <v>45621</v>
      </c>
      <c r="B71">
        <v>418.79</v>
      </c>
      <c r="C71">
        <f t="shared" si="1"/>
        <v>4.2833791665618029E-3</v>
      </c>
    </row>
    <row r="72" spans="1:3" x14ac:dyDescent="0.25">
      <c r="A72" s="1">
        <v>45622</v>
      </c>
      <c r="B72">
        <v>427.99</v>
      </c>
      <c r="C72">
        <f t="shared" si="1"/>
        <v>2.1730229857498513E-2</v>
      </c>
    </row>
    <row r="73" spans="1:3" x14ac:dyDescent="0.25">
      <c r="A73" s="1">
        <v>45623</v>
      </c>
      <c r="B73">
        <v>422.99</v>
      </c>
      <c r="C73">
        <f t="shared" si="1"/>
        <v>-1.1751292717967056E-2</v>
      </c>
    </row>
    <row r="74" spans="1:3" x14ac:dyDescent="0.25">
      <c r="A74" s="1">
        <v>45625</v>
      </c>
      <c r="B74">
        <v>423.46</v>
      </c>
      <c r="C74">
        <f t="shared" si="1"/>
        <v>1.1105205228955624E-3</v>
      </c>
    </row>
    <row r="75" spans="1:3" x14ac:dyDescent="0.25">
      <c r="A75" s="1">
        <v>45628</v>
      </c>
      <c r="B75">
        <v>430.98</v>
      </c>
      <c r="C75">
        <f t="shared" si="1"/>
        <v>1.760262668697498E-2</v>
      </c>
    </row>
    <row r="76" spans="1:3" x14ac:dyDescent="0.25">
      <c r="A76" s="1">
        <v>45629</v>
      </c>
      <c r="B76">
        <v>431.2</v>
      </c>
      <c r="C76">
        <f t="shared" si="1"/>
        <v>5.103342800221258E-4</v>
      </c>
    </row>
    <row r="77" spans="1:3" x14ac:dyDescent="0.25">
      <c r="A77" s="1">
        <v>45630</v>
      </c>
      <c r="B77">
        <v>437.42</v>
      </c>
      <c r="C77">
        <f t="shared" si="1"/>
        <v>1.432181233961893E-2</v>
      </c>
    </row>
    <row r="78" spans="1:3" x14ac:dyDescent="0.25">
      <c r="A78" s="1">
        <v>45631</v>
      </c>
      <c r="B78">
        <v>442.62</v>
      </c>
      <c r="C78">
        <f t="shared" si="1"/>
        <v>1.1817782189859459E-2</v>
      </c>
    </row>
    <row r="79" spans="1:3" x14ac:dyDescent="0.25">
      <c r="A79" s="1">
        <v>45632</v>
      </c>
      <c r="B79">
        <v>443.57</v>
      </c>
      <c r="C79">
        <f t="shared" si="1"/>
        <v>2.1440105708975103E-3</v>
      </c>
    </row>
    <row r="80" spans="1:3" x14ac:dyDescent="0.25">
      <c r="A80" s="1">
        <v>45635</v>
      </c>
      <c r="B80">
        <v>446.02</v>
      </c>
      <c r="C80">
        <f t="shared" si="1"/>
        <v>5.5081693688085664E-3</v>
      </c>
    </row>
    <row r="81" spans="1:3" x14ac:dyDescent="0.25">
      <c r="A81" s="1">
        <v>45636</v>
      </c>
      <c r="B81">
        <v>443.33</v>
      </c>
      <c r="C81">
        <f t="shared" si="1"/>
        <v>-6.0493803415409345E-3</v>
      </c>
    </row>
    <row r="82" spans="1:3" x14ac:dyDescent="0.25">
      <c r="A82" s="1">
        <v>45637</v>
      </c>
      <c r="B82">
        <v>448.99</v>
      </c>
      <c r="C82">
        <f t="shared" si="1"/>
        <v>1.2686202056882959E-2</v>
      </c>
    </row>
    <row r="83" spans="1:3" x14ac:dyDescent="0.25">
      <c r="A83" s="1">
        <v>45638</v>
      </c>
      <c r="B83">
        <v>449.56</v>
      </c>
      <c r="C83">
        <f t="shared" si="1"/>
        <v>1.2687108707523317E-3</v>
      </c>
    </row>
    <row r="84" spans="1:3" x14ac:dyDescent="0.25">
      <c r="A84" s="1">
        <v>45639</v>
      </c>
      <c r="B84">
        <v>447.27</v>
      </c>
      <c r="C84">
        <f t="shared" si="1"/>
        <v>-5.106887541648961E-3</v>
      </c>
    </row>
    <row r="85" spans="1:3" x14ac:dyDescent="0.25">
      <c r="A85" s="1">
        <v>45642</v>
      </c>
      <c r="B85">
        <v>451.59</v>
      </c>
      <c r="C85">
        <f t="shared" si="1"/>
        <v>9.6122494321048465E-3</v>
      </c>
    </row>
    <row r="86" spans="1:3" x14ac:dyDescent="0.25">
      <c r="A86" s="1">
        <v>45643</v>
      </c>
      <c r="B86">
        <v>454.46</v>
      </c>
      <c r="C86">
        <f t="shared" si="1"/>
        <v>6.3352124031293821E-3</v>
      </c>
    </row>
    <row r="87" spans="1:3" x14ac:dyDescent="0.25">
      <c r="A87" s="1">
        <v>45644</v>
      </c>
      <c r="B87">
        <v>437.39</v>
      </c>
      <c r="C87">
        <f t="shared" si="1"/>
        <v>-3.8284655330873545E-2</v>
      </c>
    </row>
    <row r="88" spans="1:3" x14ac:dyDescent="0.25">
      <c r="A88" s="1">
        <v>45645</v>
      </c>
      <c r="B88">
        <v>437.03</v>
      </c>
      <c r="C88">
        <f t="shared" si="1"/>
        <v>-8.2340298790001861E-4</v>
      </c>
    </row>
    <row r="89" spans="1:3" x14ac:dyDescent="0.25">
      <c r="A89" s="1">
        <v>45646</v>
      </c>
      <c r="B89">
        <v>436.6</v>
      </c>
      <c r="C89">
        <f t="shared" si="1"/>
        <v>-9.8439850903452616E-4</v>
      </c>
    </row>
    <row r="90" spans="1:3" x14ac:dyDescent="0.25">
      <c r="A90" s="1">
        <v>45649</v>
      </c>
      <c r="B90">
        <v>435.25</v>
      </c>
      <c r="C90">
        <f t="shared" si="1"/>
        <v>-3.0968654675452034E-3</v>
      </c>
    </row>
    <row r="91" spans="1:3" x14ac:dyDescent="0.25">
      <c r="A91" s="1">
        <v>45650</v>
      </c>
      <c r="B91">
        <v>439.33</v>
      </c>
      <c r="C91">
        <f t="shared" si="1"/>
        <v>9.3302604638468636E-3</v>
      </c>
    </row>
    <row r="92" spans="1:3" x14ac:dyDescent="0.25">
      <c r="A92" s="1">
        <v>45652</v>
      </c>
      <c r="B92">
        <v>438.11</v>
      </c>
      <c r="C92">
        <f t="shared" si="1"/>
        <v>-2.780818713948305E-3</v>
      </c>
    </row>
    <row r="93" spans="1:3" x14ac:dyDescent="0.25">
      <c r="A93" s="1">
        <v>45653</v>
      </c>
      <c r="B93">
        <v>430.53</v>
      </c>
      <c r="C93">
        <f t="shared" si="1"/>
        <v>-1.7453012547246734E-2</v>
      </c>
    </row>
    <row r="94" spans="1:3" x14ac:dyDescent="0.25">
      <c r="A94" s="1">
        <v>45656</v>
      </c>
      <c r="B94">
        <v>424.83</v>
      </c>
      <c r="C94">
        <f t="shared" si="1"/>
        <v>-1.3327918947873099E-2</v>
      </c>
    </row>
    <row r="95" spans="1:3" x14ac:dyDescent="0.25">
      <c r="A95" s="1">
        <v>45657</v>
      </c>
      <c r="B95">
        <v>421.5</v>
      </c>
      <c r="C95">
        <f t="shared" si="1"/>
        <v>-7.8693114611669106E-3</v>
      </c>
    </row>
    <row r="96" spans="1:3" x14ac:dyDescent="0.25">
      <c r="A96" s="1">
        <v>45659</v>
      </c>
      <c r="B96">
        <v>418.58</v>
      </c>
      <c r="C96">
        <f t="shared" si="1"/>
        <v>-6.9517468800784493E-3</v>
      </c>
    </row>
    <row r="97" spans="1:3" x14ac:dyDescent="0.25">
      <c r="A97" s="1">
        <v>45660</v>
      </c>
      <c r="B97">
        <v>423.35</v>
      </c>
      <c r="C97">
        <f t="shared" si="1"/>
        <v>1.1331229526454522E-2</v>
      </c>
    </row>
    <row r="98" spans="1:3" x14ac:dyDescent="0.25">
      <c r="A98" s="1">
        <v>45663</v>
      </c>
      <c r="B98">
        <v>427.85</v>
      </c>
      <c r="C98">
        <f t="shared" si="1"/>
        <v>1.057340677577758E-2</v>
      </c>
    </row>
    <row r="99" spans="1:3" x14ac:dyDescent="0.25">
      <c r="A99" s="1">
        <v>45664</v>
      </c>
      <c r="B99">
        <v>422.37</v>
      </c>
      <c r="C99">
        <f t="shared" si="1"/>
        <v>-1.2890959721518212E-2</v>
      </c>
    </row>
    <row r="100" spans="1:3" x14ac:dyDescent="0.25">
      <c r="A100" s="1">
        <v>45665</v>
      </c>
      <c r="B100">
        <v>424.56</v>
      </c>
      <c r="C100">
        <f t="shared" si="1"/>
        <v>5.1716313770938417E-3</v>
      </c>
    </row>
    <row r="101" spans="1:3" x14ac:dyDescent="0.25">
      <c r="A101" s="1">
        <v>45667</v>
      </c>
      <c r="B101">
        <v>418.95</v>
      </c>
      <c r="C101">
        <f t="shared" si="1"/>
        <v>-1.3301757460344052E-2</v>
      </c>
    </row>
    <row r="102" spans="1:3" x14ac:dyDescent="0.25">
      <c r="A102" s="1">
        <v>45670</v>
      </c>
      <c r="B102">
        <v>417.19</v>
      </c>
      <c r="C102">
        <f t="shared" si="1"/>
        <v>-4.209827539218081E-3</v>
      </c>
    </row>
    <row r="103" spans="1:3" x14ac:dyDescent="0.25">
      <c r="A103" s="1">
        <v>45671</v>
      </c>
      <c r="B103">
        <v>415.67</v>
      </c>
      <c r="C103">
        <f t="shared" si="1"/>
        <v>-3.6500772941136213E-3</v>
      </c>
    </row>
    <row r="104" spans="1:3" x14ac:dyDescent="0.25">
      <c r="A104" s="1">
        <v>45672</v>
      </c>
      <c r="B104">
        <v>426.31</v>
      </c>
      <c r="C104">
        <f t="shared" si="1"/>
        <v>2.5275104928999953E-2</v>
      </c>
    </row>
    <row r="105" spans="1:3" x14ac:dyDescent="0.25">
      <c r="A105" s="1">
        <v>45673</v>
      </c>
      <c r="B105">
        <v>424.58</v>
      </c>
      <c r="C105">
        <f t="shared" si="1"/>
        <v>-4.066336151107945E-3</v>
      </c>
    </row>
    <row r="106" spans="1:3" x14ac:dyDescent="0.25">
      <c r="A106" s="1">
        <v>45674</v>
      </c>
      <c r="B106">
        <v>429.03</v>
      </c>
      <c r="C106">
        <f t="shared" si="1"/>
        <v>1.0426401549097972E-2</v>
      </c>
    </row>
    <row r="107" spans="1:3" x14ac:dyDescent="0.25">
      <c r="A107" s="1">
        <v>45678</v>
      </c>
      <c r="B107">
        <v>428.5</v>
      </c>
      <c r="C107">
        <f t="shared" si="1"/>
        <v>-1.236108515119177E-3</v>
      </c>
    </row>
    <row r="108" spans="1:3" x14ac:dyDescent="0.25">
      <c r="A108" s="1">
        <v>45679</v>
      </c>
      <c r="B108">
        <v>446.2</v>
      </c>
      <c r="C108">
        <f t="shared" si="1"/>
        <v>4.0476543960597577E-2</v>
      </c>
    </row>
    <row r="109" spans="1:3" x14ac:dyDescent="0.25">
      <c r="A109" s="1">
        <v>45680</v>
      </c>
      <c r="B109">
        <v>446.71</v>
      </c>
      <c r="C109">
        <f t="shared" si="1"/>
        <v>1.142332498144708E-3</v>
      </c>
    </row>
    <row r="110" spans="1:3" x14ac:dyDescent="0.25">
      <c r="A110" s="1">
        <v>45681</v>
      </c>
      <c r="B110">
        <v>444.06</v>
      </c>
      <c r="C110">
        <f t="shared" si="1"/>
        <v>-5.9499260591469177E-3</v>
      </c>
    </row>
    <row r="111" spans="1:3" x14ac:dyDescent="0.25">
      <c r="A111" s="1">
        <v>45684</v>
      </c>
      <c r="B111">
        <v>434.56</v>
      </c>
      <c r="C111">
        <f t="shared" si="1"/>
        <v>-2.1625663507153406E-2</v>
      </c>
    </row>
    <row r="112" spans="1:3" x14ac:dyDescent="0.25">
      <c r="A112" s="1">
        <v>45685</v>
      </c>
      <c r="B112">
        <v>447.2</v>
      </c>
      <c r="C112">
        <f t="shared" si="1"/>
        <v>2.8671896910612688E-2</v>
      </c>
    </row>
    <row r="113" spans="1:3" x14ac:dyDescent="0.25">
      <c r="A113" s="1">
        <v>45686</v>
      </c>
      <c r="B113">
        <v>442.33</v>
      </c>
      <c r="C113">
        <f t="shared" si="1"/>
        <v>-1.0949712000212162E-2</v>
      </c>
    </row>
    <row r="114" spans="1:3" x14ac:dyDescent="0.25">
      <c r="A114" s="1">
        <v>45687</v>
      </c>
      <c r="B114">
        <v>414.99</v>
      </c>
      <c r="C114">
        <f t="shared" si="1"/>
        <v>-6.3801786285843556E-2</v>
      </c>
    </row>
    <row r="115" spans="1:3" x14ac:dyDescent="0.25">
      <c r="A115" s="1">
        <v>45688</v>
      </c>
      <c r="B115">
        <v>415.06</v>
      </c>
      <c r="C115">
        <f t="shared" si="1"/>
        <v>1.6866453868067421E-4</v>
      </c>
    </row>
    <row r="116" spans="1:3" x14ac:dyDescent="0.25">
      <c r="A116" s="1">
        <v>45691</v>
      </c>
      <c r="B116">
        <v>410.92</v>
      </c>
      <c r="C116">
        <f t="shared" si="1"/>
        <v>-1.0024539745451297E-2</v>
      </c>
    </row>
    <row r="117" spans="1:3" x14ac:dyDescent="0.25">
      <c r="A117" s="1">
        <v>45692</v>
      </c>
      <c r="B117">
        <v>412.37</v>
      </c>
      <c r="C117">
        <f t="shared" si="1"/>
        <v>3.5224562408462663E-3</v>
      </c>
    </row>
    <row r="118" spans="1:3" x14ac:dyDescent="0.25">
      <c r="A118" s="1">
        <v>45693</v>
      </c>
      <c r="B118">
        <v>413.29</v>
      </c>
      <c r="C118">
        <f t="shared" si="1"/>
        <v>2.2285211364244705E-3</v>
      </c>
    </row>
    <row r="119" spans="1:3" x14ac:dyDescent="0.25">
      <c r="A119" s="1">
        <v>45694</v>
      </c>
      <c r="B119">
        <v>415.82</v>
      </c>
      <c r="C119">
        <f t="shared" si="1"/>
        <v>6.1029485899084931E-3</v>
      </c>
    </row>
    <row r="120" spans="1:3" x14ac:dyDescent="0.25">
      <c r="A120" s="1">
        <v>45695</v>
      </c>
      <c r="B120">
        <v>409.75</v>
      </c>
      <c r="C120">
        <f t="shared" si="1"/>
        <v>-1.4705256691303348E-2</v>
      </c>
    </row>
    <row r="121" spans="1:3" x14ac:dyDescent="0.25">
      <c r="A121" s="1">
        <v>45698</v>
      </c>
      <c r="B121">
        <v>412.22</v>
      </c>
      <c r="C121">
        <f t="shared" si="1"/>
        <v>6.0099697912124102E-3</v>
      </c>
    </row>
    <row r="122" spans="1:3" x14ac:dyDescent="0.25">
      <c r="A122" s="1">
        <v>45699</v>
      </c>
      <c r="B122">
        <v>411.44</v>
      </c>
      <c r="C122">
        <f t="shared" si="1"/>
        <v>-1.8939859484906557E-3</v>
      </c>
    </row>
    <row r="123" spans="1:3" x14ac:dyDescent="0.25">
      <c r="A123" s="1">
        <v>45700</v>
      </c>
      <c r="B123">
        <v>409.04</v>
      </c>
      <c r="C123">
        <f t="shared" si="1"/>
        <v>-5.8502506949169517E-3</v>
      </c>
    </row>
    <row r="124" spans="1:3" x14ac:dyDescent="0.25">
      <c r="A124" s="1">
        <v>45701</v>
      </c>
      <c r="B124">
        <v>410.54</v>
      </c>
      <c r="C124">
        <f t="shared" si="1"/>
        <v>3.6604155172889801E-3</v>
      </c>
    </row>
    <row r="125" spans="1:3" x14ac:dyDescent="0.25">
      <c r="A125" s="1">
        <v>45702</v>
      </c>
      <c r="B125">
        <v>408.43</v>
      </c>
      <c r="C125">
        <f t="shared" si="1"/>
        <v>-5.15282530167358E-3</v>
      </c>
    </row>
    <row r="126" spans="1:3" x14ac:dyDescent="0.25">
      <c r="A126" s="1">
        <v>45706</v>
      </c>
      <c r="B126">
        <v>409.64</v>
      </c>
      <c r="C126">
        <f t="shared" si="1"/>
        <v>2.9581842198776473E-3</v>
      </c>
    </row>
    <row r="127" spans="1:3" x14ac:dyDescent="0.25">
      <c r="A127" s="1">
        <v>45707</v>
      </c>
      <c r="B127">
        <v>414.77</v>
      </c>
      <c r="C127">
        <f t="shared" si="1"/>
        <v>1.24454245210562E-2</v>
      </c>
    </row>
    <row r="128" spans="1:3" x14ac:dyDescent="0.25">
      <c r="A128" s="1">
        <v>45708</v>
      </c>
      <c r="B128">
        <v>416.13</v>
      </c>
      <c r="C128">
        <f t="shared" si="1"/>
        <v>3.2735617150155796E-3</v>
      </c>
    </row>
  </sheetData>
  <sortState xmlns:xlrd2="http://schemas.microsoft.com/office/spreadsheetml/2017/richdata2" ref="A2:B128">
    <sortCondition ref="A1:A12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9E15F-0D6B-4060-9334-A247CD65A637}">
  <sheetPr codeName="Sheet1"/>
  <dimension ref="A1:J128"/>
  <sheetViews>
    <sheetView workbookViewId="0">
      <selection sqref="A1:F1048576"/>
    </sheetView>
  </sheetViews>
  <sheetFormatPr defaultColWidth="8.85546875" defaultRowHeight="15" x14ac:dyDescent="0.25"/>
  <cols>
    <col min="1" max="1" width="10.42578125" bestFit="1" customWidth="1"/>
    <col min="3" max="5" width="14" customWidth="1"/>
    <col min="6" max="6" width="19.42578125" bestFit="1" customWidth="1"/>
    <col min="7" max="8" width="31.140625" customWidth="1"/>
    <col min="9" max="9" width="33.140625" customWidth="1"/>
    <col min="10" max="10" width="31.85546875" customWidth="1"/>
    <col min="11" max="11" width="28" customWidth="1"/>
    <col min="12" max="12" width="25.85546875" customWidth="1"/>
  </cols>
  <sheetData>
    <row r="1" spans="1:10" x14ac:dyDescent="0.25">
      <c r="A1" t="s">
        <v>0</v>
      </c>
      <c r="B1" t="s">
        <v>1</v>
      </c>
      <c r="C1" t="s">
        <v>6</v>
      </c>
      <c r="D1" s="4" t="s">
        <v>5</v>
      </c>
      <c r="E1" t="s">
        <v>2</v>
      </c>
      <c r="F1" t="s">
        <v>7</v>
      </c>
    </row>
    <row r="2" spans="1:10" x14ac:dyDescent="0.25">
      <c r="A2" s="1">
        <v>45523</v>
      </c>
      <c r="B2">
        <v>225.89</v>
      </c>
      <c r="D2">
        <f>_xlfn.STDEV.S(C3:C128)</f>
        <v>1.3672231948002638E-2</v>
      </c>
      <c r="E2" s="3" cm="1">
        <f t="array" ref="E2">CalculateCAGR(B3,B128,1)</f>
        <v>8.5294247494591913E-2</v>
      </c>
      <c r="F2">
        <f>D2*SQRT(252)</f>
        <v>0.21703995360964298</v>
      </c>
    </row>
    <row r="3" spans="1:10" x14ac:dyDescent="0.25">
      <c r="A3" s="1">
        <v>45524</v>
      </c>
      <c r="B3">
        <v>226.51</v>
      </c>
      <c r="C3">
        <f>LN(B3/B2)</f>
        <v>2.7409389396927126E-3</v>
      </c>
      <c r="J3" s="2"/>
    </row>
    <row r="4" spans="1:10" x14ac:dyDescent="0.25">
      <c r="A4" s="1">
        <v>45525</v>
      </c>
      <c r="B4">
        <v>226.4</v>
      </c>
      <c r="C4">
        <f t="shared" ref="C4:C67" si="0">LN(B4/B3)</f>
        <v>-4.8574772984859386E-4</v>
      </c>
    </row>
    <row r="5" spans="1:10" x14ac:dyDescent="0.25">
      <c r="A5" s="1">
        <v>45526</v>
      </c>
      <c r="B5">
        <v>224.53</v>
      </c>
      <c r="C5">
        <f t="shared" si="0"/>
        <v>-8.2940177849183654E-3</v>
      </c>
    </row>
    <row r="6" spans="1:10" x14ac:dyDescent="0.25">
      <c r="A6" s="1">
        <v>45527</v>
      </c>
      <c r="B6">
        <v>226.84</v>
      </c>
      <c r="C6">
        <f t="shared" si="0"/>
        <v>1.0235594601717834E-2</v>
      </c>
    </row>
    <row r="7" spans="1:10" x14ac:dyDescent="0.25">
      <c r="A7" s="1">
        <v>45530</v>
      </c>
      <c r="B7">
        <v>227.18</v>
      </c>
      <c r="C7">
        <f t="shared" si="0"/>
        <v>1.497731657448228E-3</v>
      </c>
    </row>
    <row r="8" spans="1:10" x14ac:dyDescent="0.25">
      <c r="A8" s="1">
        <v>45531</v>
      </c>
      <c r="B8">
        <v>228.03</v>
      </c>
      <c r="C8">
        <f t="shared" si="0"/>
        <v>3.7345444427833042E-3</v>
      </c>
    </row>
    <row r="9" spans="1:10" x14ac:dyDescent="0.25">
      <c r="A9" s="1">
        <v>45532</v>
      </c>
      <c r="B9">
        <v>226.49</v>
      </c>
      <c r="C9">
        <f t="shared" si="0"/>
        <v>-6.7764054079900871E-3</v>
      </c>
    </row>
    <row r="10" spans="1:10" x14ac:dyDescent="0.25">
      <c r="A10" s="1">
        <v>45533</v>
      </c>
      <c r="B10">
        <v>229.79</v>
      </c>
      <c r="C10">
        <f t="shared" si="0"/>
        <v>1.4465054528776243E-2</v>
      </c>
    </row>
    <row r="11" spans="1:10" x14ac:dyDescent="0.25">
      <c r="A11" s="1">
        <v>45534</v>
      </c>
      <c r="B11">
        <v>229</v>
      </c>
      <c r="C11">
        <f t="shared" si="0"/>
        <v>-3.4438448126052909E-3</v>
      </c>
    </row>
    <row r="12" spans="1:10" x14ac:dyDescent="0.25">
      <c r="A12" s="1">
        <v>45538</v>
      </c>
      <c r="B12">
        <v>222.77</v>
      </c>
      <c r="C12">
        <f t="shared" si="0"/>
        <v>-2.7582154477457006E-2</v>
      </c>
    </row>
    <row r="13" spans="1:10" x14ac:dyDescent="0.25">
      <c r="A13" s="1">
        <v>45539</v>
      </c>
      <c r="B13">
        <v>220.85</v>
      </c>
      <c r="C13">
        <f t="shared" si="0"/>
        <v>-8.6561110342471426E-3</v>
      </c>
    </row>
    <row r="14" spans="1:10" x14ac:dyDescent="0.25">
      <c r="A14" s="1">
        <v>45540</v>
      </c>
      <c r="B14">
        <v>222.38</v>
      </c>
      <c r="C14">
        <f t="shared" si="0"/>
        <v>6.9038922325676197E-3</v>
      </c>
    </row>
    <row r="15" spans="1:10" x14ac:dyDescent="0.25">
      <c r="A15" s="1">
        <v>45541</v>
      </c>
      <c r="B15">
        <v>220.82</v>
      </c>
      <c r="C15">
        <f t="shared" si="0"/>
        <v>-7.0397402641122122E-3</v>
      </c>
    </row>
    <row r="16" spans="1:10" x14ac:dyDescent="0.25">
      <c r="A16" s="1">
        <v>45544</v>
      </c>
      <c r="B16">
        <v>220.91</v>
      </c>
      <c r="C16">
        <f t="shared" si="0"/>
        <v>4.0748874310253498E-4</v>
      </c>
    </row>
    <row r="17" spans="1:3" x14ac:dyDescent="0.25">
      <c r="A17" s="1">
        <v>45545</v>
      </c>
      <c r="B17">
        <v>220.11</v>
      </c>
      <c r="C17">
        <f t="shared" si="0"/>
        <v>-3.6279573600808664E-3</v>
      </c>
    </row>
    <row r="18" spans="1:3" x14ac:dyDescent="0.25">
      <c r="A18" s="1">
        <v>45546</v>
      </c>
      <c r="B18">
        <v>222.66</v>
      </c>
      <c r="C18">
        <f t="shared" si="0"/>
        <v>1.1518522906548473E-2</v>
      </c>
    </row>
    <row r="19" spans="1:3" x14ac:dyDescent="0.25">
      <c r="A19" s="1">
        <v>45547</v>
      </c>
      <c r="B19">
        <v>222.77</v>
      </c>
      <c r="C19">
        <f t="shared" si="0"/>
        <v>4.9390477622147076E-4</v>
      </c>
    </row>
    <row r="20" spans="1:3" x14ac:dyDescent="0.25">
      <c r="A20" s="1">
        <v>45548</v>
      </c>
      <c r="B20">
        <v>222.5</v>
      </c>
      <c r="C20">
        <f t="shared" si="0"/>
        <v>-1.2127474704876769E-3</v>
      </c>
    </row>
    <row r="21" spans="1:3" x14ac:dyDescent="0.25">
      <c r="A21" s="1">
        <v>45551</v>
      </c>
      <c r="B21">
        <v>216.32</v>
      </c>
      <c r="C21">
        <f t="shared" si="0"/>
        <v>-2.8168308751695719E-2</v>
      </c>
    </row>
    <row r="22" spans="1:3" x14ac:dyDescent="0.25">
      <c r="A22" s="1">
        <v>45552</v>
      </c>
      <c r="B22">
        <v>216.79</v>
      </c>
      <c r="C22">
        <f t="shared" si="0"/>
        <v>2.1703501858254429E-3</v>
      </c>
    </row>
    <row r="23" spans="1:3" x14ac:dyDescent="0.25">
      <c r="A23" s="1">
        <v>45553</v>
      </c>
      <c r="B23">
        <v>220.69</v>
      </c>
      <c r="C23">
        <f t="shared" si="0"/>
        <v>1.7829858819643829E-2</v>
      </c>
    </row>
    <row r="24" spans="1:3" x14ac:dyDescent="0.25">
      <c r="A24" s="1">
        <v>45554</v>
      </c>
      <c r="B24">
        <v>228.87</v>
      </c>
      <c r="C24">
        <f t="shared" si="0"/>
        <v>3.6395154910179209E-2</v>
      </c>
    </row>
    <row r="25" spans="1:3" x14ac:dyDescent="0.25">
      <c r="A25" s="1">
        <v>45555</v>
      </c>
      <c r="B25">
        <v>228.2</v>
      </c>
      <c r="C25">
        <f t="shared" si="0"/>
        <v>-2.9317193422724623E-3</v>
      </c>
    </row>
    <row r="26" spans="1:3" x14ac:dyDescent="0.25">
      <c r="A26" s="1">
        <v>45558</v>
      </c>
      <c r="B26">
        <v>226.47</v>
      </c>
      <c r="C26">
        <f t="shared" si="0"/>
        <v>-7.6099516083320351E-3</v>
      </c>
    </row>
    <row r="27" spans="1:3" x14ac:dyDescent="0.25">
      <c r="A27" s="1">
        <v>45559</v>
      </c>
      <c r="B27">
        <v>227.37</v>
      </c>
      <c r="C27">
        <f t="shared" si="0"/>
        <v>3.9661606724042875E-3</v>
      </c>
    </row>
    <row r="28" spans="1:3" x14ac:dyDescent="0.25">
      <c r="A28" s="1">
        <v>45560</v>
      </c>
      <c r="B28">
        <v>226.37</v>
      </c>
      <c r="C28">
        <f t="shared" si="0"/>
        <v>-4.407817777012997E-3</v>
      </c>
    </row>
    <row r="29" spans="1:3" x14ac:dyDescent="0.25">
      <c r="A29" s="1">
        <v>45561</v>
      </c>
      <c r="B29">
        <v>227.52</v>
      </c>
      <c r="C29">
        <f t="shared" si="0"/>
        <v>5.0673178998415468E-3</v>
      </c>
    </row>
    <row r="30" spans="1:3" x14ac:dyDescent="0.25">
      <c r="A30" s="1">
        <v>45562</v>
      </c>
      <c r="B30">
        <v>227.79</v>
      </c>
      <c r="C30">
        <f t="shared" si="0"/>
        <v>1.1860052783758518E-3</v>
      </c>
    </row>
    <row r="31" spans="1:3" x14ac:dyDescent="0.25">
      <c r="A31" s="1">
        <v>45565</v>
      </c>
      <c r="B31">
        <v>233</v>
      </c>
      <c r="C31">
        <f t="shared" si="0"/>
        <v>2.2614301672448562E-2</v>
      </c>
    </row>
    <row r="32" spans="1:3" x14ac:dyDescent="0.25">
      <c r="A32" s="1">
        <v>45566</v>
      </c>
      <c r="B32">
        <v>226.21</v>
      </c>
      <c r="C32">
        <f t="shared" si="0"/>
        <v>-2.9574682195956357E-2</v>
      </c>
    </row>
    <row r="33" spans="1:3" x14ac:dyDescent="0.25">
      <c r="A33" s="1">
        <v>45567</v>
      </c>
      <c r="B33">
        <v>226.78</v>
      </c>
      <c r="C33">
        <f t="shared" si="0"/>
        <v>2.5166131739495158E-3</v>
      </c>
    </row>
    <row r="34" spans="1:3" x14ac:dyDescent="0.25">
      <c r="A34" s="1">
        <v>45568</v>
      </c>
      <c r="B34">
        <v>225.67</v>
      </c>
      <c r="C34">
        <f t="shared" si="0"/>
        <v>-4.9066293598749146E-3</v>
      </c>
    </row>
    <row r="35" spans="1:3" x14ac:dyDescent="0.25">
      <c r="A35" s="1">
        <v>45569</v>
      </c>
      <c r="B35">
        <v>226.8</v>
      </c>
      <c r="C35">
        <f t="shared" si="0"/>
        <v>4.9948166697781288E-3</v>
      </c>
    </row>
    <row r="36" spans="1:3" x14ac:dyDescent="0.25">
      <c r="A36" s="1">
        <v>45572</v>
      </c>
      <c r="B36">
        <v>221.69</v>
      </c>
      <c r="C36">
        <f t="shared" si="0"/>
        <v>-2.2788562247735331E-2</v>
      </c>
    </row>
    <row r="37" spans="1:3" x14ac:dyDescent="0.25">
      <c r="A37" s="1">
        <v>45573</v>
      </c>
      <c r="B37">
        <v>225.77</v>
      </c>
      <c r="C37">
        <f t="shared" si="0"/>
        <v>1.8236772344019592E-2</v>
      </c>
    </row>
    <row r="38" spans="1:3" x14ac:dyDescent="0.25">
      <c r="A38" s="1">
        <v>45574</v>
      </c>
      <c r="B38">
        <v>229.54</v>
      </c>
      <c r="C38">
        <f t="shared" si="0"/>
        <v>1.6560524302640989E-2</v>
      </c>
    </row>
    <row r="39" spans="1:3" x14ac:dyDescent="0.25">
      <c r="A39" s="1">
        <v>45575</v>
      </c>
      <c r="B39">
        <v>229.04</v>
      </c>
      <c r="C39">
        <f t="shared" si="0"/>
        <v>-2.1806454626626935E-3</v>
      </c>
    </row>
    <row r="40" spans="1:3" x14ac:dyDescent="0.25">
      <c r="A40" s="1">
        <v>45576</v>
      </c>
      <c r="B40">
        <v>227.55</v>
      </c>
      <c r="C40">
        <f t="shared" si="0"/>
        <v>-6.5266663272085766E-3</v>
      </c>
    </row>
    <row r="41" spans="1:3" x14ac:dyDescent="0.25">
      <c r="A41" s="1">
        <v>45579</v>
      </c>
      <c r="B41">
        <v>231.3</v>
      </c>
      <c r="C41">
        <f t="shared" si="0"/>
        <v>1.6345574774742577E-2</v>
      </c>
    </row>
    <row r="42" spans="1:3" x14ac:dyDescent="0.25">
      <c r="A42" s="1">
        <v>45580</v>
      </c>
      <c r="B42">
        <v>233.85</v>
      </c>
      <c r="C42">
        <f t="shared" si="0"/>
        <v>1.0964314934501682E-2</v>
      </c>
    </row>
    <row r="43" spans="1:3" x14ac:dyDescent="0.25">
      <c r="A43" s="1">
        <v>45581</v>
      </c>
      <c r="B43">
        <v>231.78</v>
      </c>
      <c r="C43">
        <f t="shared" si="0"/>
        <v>-8.8912382656501972E-3</v>
      </c>
    </row>
    <row r="44" spans="1:3" x14ac:dyDescent="0.25">
      <c r="A44" s="1">
        <v>45582</v>
      </c>
      <c r="B44">
        <v>232.15</v>
      </c>
      <c r="C44">
        <f t="shared" si="0"/>
        <v>1.5950685596858294E-3</v>
      </c>
    </row>
    <row r="45" spans="1:3" x14ac:dyDescent="0.25">
      <c r="A45" s="1">
        <v>45583</v>
      </c>
      <c r="B45">
        <v>235</v>
      </c>
      <c r="C45">
        <f t="shared" si="0"/>
        <v>1.2201799678228265E-2</v>
      </c>
    </row>
    <row r="46" spans="1:3" x14ac:dyDescent="0.25">
      <c r="A46" s="1">
        <v>45586</v>
      </c>
      <c r="B46">
        <v>236.48</v>
      </c>
      <c r="C46">
        <f t="shared" si="0"/>
        <v>6.278123615677908E-3</v>
      </c>
    </row>
    <row r="47" spans="1:3" x14ac:dyDescent="0.25">
      <c r="A47" s="1">
        <v>45587</v>
      </c>
      <c r="B47">
        <v>235.86</v>
      </c>
      <c r="C47">
        <f t="shared" si="0"/>
        <v>-2.625229098012868E-3</v>
      </c>
    </row>
    <row r="48" spans="1:3" x14ac:dyDescent="0.25">
      <c r="A48" s="1">
        <v>45588</v>
      </c>
      <c r="B48">
        <v>230.76</v>
      </c>
      <c r="C48">
        <f t="shared" si="0"/>
        <v>-2.1860199273135369E-2</v>
      </c>
    </row>
    <row r="49" spans="1:3" x14ac:dyDescent="0.25">
      <c r="A49" s="1">
        <v>45589</v>
      </c>
      <c r="B49">
        <v>230.57</v>
      </c>
      <c r="C49">
        <f t="shared" si="0"/>
        <v>-8.2370542016678883E-4</v>
      </c>
    </row>
    <row r="50" spans="1:3" x14ac:dyDescent="0.25">
      <c r="A50" s="1">
        <v>45590</v>
      </c>
      <c r="B50">
        <v>231.41</v>
      </c>
      <c r="C50">
        <f t="shared" si="0"/>
        <v>3.6365250690583951E-3</v>
      </c>
    </row>
    <row r="51" spans="1:3" x14ac:dyDescent="0.25">
      <c r="A51" s="1">
        <v>45593</v>
      </c>
      <c r="B51">
        <v>233.4</v>
      </c>
      <c r="C51">
        <f t="shared" si="0"/>
        <v>8.5626908148752033E-3</v>
      </c>
    </row>
    <row r="52" spans="1:3" x14ac:dyDescent="0.25">
      <c r="A52" s="1">
        <v>45594</v>
      </c>
      <c r="B52">
        <v>233.67</v>
      </c>
      <c r="C52">
        <f t="shared" si="0"/>
        <v>1.1561437475111353E-3</v>
      </c>
    </row>
    <row r="53" spans="1:3" x14ac:dyDescent="0.25">
      <c r="A53" s="1">
        <v>45595</v>
      </c>
      <c r="B53">
        <v>230.1</v>
      </c>
      <c r="C53">
        <f t="shared" si="0"/>
        <v>-1.5395866558646653E-2</v>
      </c>
    </row>
    <row r="54" spans="1:3" x14ac:dyDescent="0.25">
      <c r="A54" s="1">
        <v>45596</v>
      </c>
      <c r="B54">
        <v>225.91</v>
      </c>
      <c r="C54">
        <f t="shared" si="0"/>
        <v>-1.8377307172189244E-2</v>
      </c>
    </row>
    <row r="55" spans="1:3" x14ac:dyDescent="0.25">
      <c r="A55" s="1">
        <v>45597</v>
      </c>
      <c r="B55">
        <v>222.91</v>
      </c>
      <c r="C55">
        <f t="shared" si="0"/>
        <v>-1.3368587316289905E-2</v>
      </c>
    </row>
    <row r="56" spans="1:3" x14ac:dyDescent="0.25">
      <c r="A56" s="1">
        <v>45600</v>
      </c>
      <c r="B56">
        <v>222.01</v>
      </c>
      <c r="C56">
        <f t="shared" si="0"/>
        <v>-4.0456766500141109E-3</v>
      </c>
    </row>
    <row r="57" spans="1:3" x14ac:dyDescent="0.25">
      <c r="A57" s="1">
        <v>45601</v>
      </c>
      <c r="B57">
        <v>223.45</v>
      </c>
      <c r="C57">
        <f t="shared" si="0"/>
        <v>6.4652494766336294E-3</v>
      </c>
    </row>
    <row r="58" spans="1:3" x14ac:dyDescent="0.25">
      <c r="A58" s="1">
        <v>45602</v>
      </c>
      <c r="B58">
        <v>222.72</v>
      </c>
      <c r="C58">
        <f t="shared" si="0"/>
        <v>-3.2722982334056835E-3</v>
      </c>
    </row>
    <row r="59" spans="1:3" x14ac:dyDescent="0.25">
      <c r="A59" s="1">
        <v>45603</v>
      </c>
      <c r="B59">
        <v>227.48</v>
      </c>
      <c r="C59">
        <f t="shared" si="0"/>
        <v>2.1146945292544149E-2</v>
      </c>
    </row>
    <row r="60" spans="1:3" x14ac:dyDescent="0.25">
      <c r="A60" s="1">
        <v>45604</v>
      </c>
      <c r="B60">
        <v>226.96</v>
      </c>
      <c r="C60">
        <f t="shared" si="0"/>
        <v>-2.2885319380029265E-3</v>
      </c>
    </row>
    <row r="61" spans="1:3" x14ac:dyDescent="0.25">
      <c r="A61" s="1">
        <v>45607</v>
      </c>
      <c r="B61">
        <v>224.23</v>
      </c>
      <c r="C61">
        <f t="shared" si="0"/>
        <v>-1.2101479715156712E-2</v>
      </c>
    </row>
    <row r="62" spans="1:3" x14ac:dyDescent="0.25">
      <c r="A62" s="1">
        <v>45608</v>
      </c>
      <c r="B62">
        <v>224.23</v>
      </c>
      <c r="C62">
        <f t="shared" si="0"/>
        <v>0</v>
      </c>
    </row>
    <row r="63" spans="1:3" x14ac:dyDescent="0.25">
      <c r="A63" s="1">
        <v>45609</v>
      </c>
      <c r="B63">
        <v>225.12</v>
      </c>
      <c r="C63">
        <f t="shared" si="0"/>
        <v>3.9612825806397481E-3</v>
      </c>
    </row>
    <row r="64" spans="1:3" x14ac:dyDescent="0.25">
      <c r="A64" s="1">
        <v>45610</v>
      </c>
      <c r="B64">
        <v>228.22</v>
      </c>
      <c r="C64">
        <f t="shared" si="0"/>
        <v>1.3676482640454679E-2</v>
      </c>
    </row>
    <row r="65" spans="1:3" x14ac:dyDescent="0.25">
      <c r="A65" s="1">
        <v>45611</v>
      </c>
      <c r="B65">
        <v>225</v>
      </c>
      <c r="C65">
        <f t="shared" si="0"/>
        <v>-1.4209673802113448E-2</v>
      </c>
    </row>
    <row r="66" spans="1:3" x14ac:dyDescent="0.25">
      <c r="A66" s="1">
        <v>45614</v>
      </c>
      <c r="B66">
        <v>228.02</v>
      </c>
      <c r="C66">
        <f t="shared" si="0"/>
        <v>1.3332942201153587E-2</v>
      </c>
    </row>
    <row r="67" spans="1:3" x14ac:dyDescent="0.25">
      <c r="A67" s="1">
        <v>45615</v>
      </c>
      <c r="B67">
        <v>228.28</v>
      </c>
      <c r="C67">
        <f t="shared" si="0"/>
        <v>1.1396012629335743E-3</v>
      </c>
    </row>
    <row r="68" spans="1:3" x14ac:dyDescent="0.25">
      <c r="A68" s="1">
        <v>45616</v>
      </c>
      <c r="B68">
        <v>229</v>
      </c>
      <c r="C68">
        <f t="shared" ref="C68:C128" si="1">LN(B68/B67)</f>
        <v>3.1490578857323766E-3</v>
      </c>
    </row>
    <row r="69" spans="1:3" x14ac:dyDescent="0.25">
      <c r="A69" s="1">
        <v>45617</v>
      </c>
      <c r="B69">
        <v>228.52</v>
      </c>
      <c r="C69">
        <f t="shared" si="1"/>
        <v>-2.0982696979778065E-3</v>
      </c>
    </row>
    <row r="70" spans="1:3" x14ac:dyDescent="0.25">
      <c r="A70" s="1">
        <v>45618</v>
      </c>
      <c r="B70">
        <v>229.87</v>
      </c>
      <c r="C70">
        <f t="shared" si="1"/>
        <v>5.890197880063815E-3</v>
      </c>
    </row>
    <row r="71" spans="1:3" x14ac:dyDescent="0.25">
      <c r="A71" s="1">
        <v>45621</v>
      </c>
      <c r="B71">
        <v>232.87</v>
      </c>
      <c r="C71">
        <f t="shared" si="1"/>
        <v>1.2966426208818584E-2</v>
      </c>
    </row>
    <row r="72" spans="1:3" x14ac:dyDescent="0.25">
      <c r="A72" s="1">
        <v>45622</v>
      </c>
      <c r="B72">
        <v>235.06</v>
      </c>
      <c r="C72">
        <f t="shared" si="1"/>
        <v>9.3604427595636724E-3</v>
      </c>
    </row>
    <row r="73" spans="1:3" x14ac:dyDescent="0.25">
      <c r="A73" s="1">
        <v>45623</v>
      </c>
      <c r="B73">
        <v>234.93</v>
      </c>
      <c r="C73">
        <f t="shared" si="1"/>
        <v>-5.5320327375206512E-4</v>
      </c>
    </row>
    <row r="74" spans="1:3" x14ac:dyDescent="0.25">
      <c r="A74" s="1">
        <v>45625</v>
      </c>
      <c r="B74">
        <v>237.33</v>
      </c>
      <c r="C74">
        <f t="shared" si="1"/>
        <v>1.0163980270458799E-2</v>
      </c>
    </row>
    <row r="75" spans="1:3" x14ac:dyDescent="0.25">
      <c r="A75" s="1">
        <v>45628</v>
      </c>
      <c r="B75">
        <v>239.59</v>
      </c>
      <c r="C75">
        <f t="shared" si="1"/>
        <v>9.477551441854002E-3</v>
      </c>
    </row>
    <row r="76" spans="1:3" x14ac:dyDescent="0.25">
      <c r="A76" s="1">
        <v>45629</v>
      </c>
      <c r="B76">
        <v>242.65</v>
      </c>
      <c r="C76">
        <f t="shared" si="1"/>
        <v>1.269094670795666E-2</v>
      </c>
    </row>
    <row r="77" spans="1:3" x14ac:dyDescent="0.25">
      <c r="A77" s="1">
        <v>45630</v>
      </c>
      <c r="B77">
        <v>243.01</v>
      </c>
      <c r="C77">
        <f t="shared" si="1"/>
        <v>1.4825189059665656E-3</v>
      </c>
    </row>
    <row r="78" spans="1:3" x14ac:dyDescent="0.25">
      <c r="A78" s="1">
        <v>45631</v>
      </c>
      <c r="B78">
        <v>243.04</v>
      </c>
      <c r="C78">
        <f t="shared" si="1"/>
        <v>1.2344409027086238E-4</v>
      </c>
    </row>
    <row r="79" spans="1:3" x14ac:dyDescent="0.25">
      <c r="A79" s="1">
        <v>45632</v>
      </c>
      <c r="B79">
        <v>242.84</v>
      </c>
      <c r="C79">
        <f t="shared" si="1"/>
        <v>-8.2324858522934052E-4</v>
      </c>
    </row>
    <row r="80" spans="1:3" x14ac:dyDescent="0.25">
      <c r="A80" s="1">
        <v>45635</v>
      </c>
      <c r="B80">
        <v>246.75</v>
      </c>
      <c r="C80">
        <f t="shared" si="1"/>
        <v>1.5972888051357558E-2</v>
      </c>
    </row>
    <row r="81" spans="1:3" x14ac:dyDescent="0.25">
      <c r="A81" s="1">
        <v>45636</v>
      </c>
      <c r="B81">
        <v>247.77</v>
      </c>
      <c r="C81">
        <f t="shared" si="1"/>
        <v>4.1252181771443009E-3</v>
      </c>
    </row>
    <row r="82" spans="1:3" x14ac:dyDescent="0.25">
      <c r="A82" s="1">
        <v>45637</v>
      </c>
      <c r="B82">
        <v>246.49</v>
      </c>
      <c r="C82">
        <f t="shared" si="1"/>
        <v>-5.1794717822105452E-3</v>
      </c>
    </row>
    <row r="83" spans="1:3" x14ac:dyDescent="0.25">
      <c r="A83" s="1">
        <v>45638</v>
      </c>
      <c r="B83">
        <v>247.96</v>
      </c>
      <c r="C83">
        <f t="shared" si="1"/>
        <v>5.9460181251939897E-3</v>
      </c>
    </row>
    <row r="84" spans="1:3" x14ac:dyDescent="0.25">
      <c r="A84" s="1">
        <v>45639</v>
      </c>
      <c r="B84">
        <v>248.13</v>
      </c>
      <c r="C84">
        <f t="shared" si="1"/>
        <v>6.8535953820605803E-4</v>
      </c>
    </row>
    <row r="85" spans="1:3" x14ac:dyDescent="0.25">
      <c r="A85" s="1">
        <v>45642</v>
      </c>
      <c r="B85">
        <v>251.04</v>
      </c>
      <c r="C85">
        <f t="shared" si="1"/>
        <v>1.1659486612797755E-2</v>
      </c>
    </row>
    <row r="86" spans="1:3" x14ac:dyDescent="0.25">
      <c r="A86" s="1">
        <v>45643</v>
      </c>
      <c r="B86">
        <v>253.48</v>
      </c>
      <c r="C86">
        <f t="shared" si="1"/>
        <v>9.6726354705936723E-3</v>
      </c>
    </row>
    <row r="87" spans="1:3" x14ac:dyDescent="0.25">
      <c r="A87" s="1">
        <v>45644</v>
      </c>
      <c r="B87">
        <v>248.05</v>
      </c>
      <c r="C87">
        <f t="shared" si="1"/>
        <v>-2.1654585708258262E-2</v>
      </c>
    </row>
    <row r="88" spans="1:3" x14ac:dyDescent="0.25">
      <c r="A88" s="1">
        <v>45645</v>
      </c>
      <c r="B88">
        <v>249.79</v>
      </c>
      <c r="C88">
        <f t="shared" si="1"/>
        <v>6.9902261174959015E-3</v>
      </c>
    </row>
    <row r="89" spans="1:3" x14ac:dyDescent="0.25">
      <c r="A89" s="1">
        <v>45646</v>
      </c>
      <c r="B89">
        <v>254.49</v>
      </c>
      <c r="C89">
        <f t="shared" si="1"/>
        <v>1.8640977623199214E-2</v>
      </c>
    </row>
    <row r="90" spans="1:3" x14ac:dyDescent="0.25">
      <c r="A90" s="1">
        <v>45649</v>
      </c>
      <c r="B90">
        <v>255.27</v>
      </c>
      <c r="C90">
        <f t="shared" si="1"/>
        <v>3.0602660418225774E-3</v>
      </c>
    </row>
    <row r="91" spans="1:3" x14ac:dyDescent="0.25">
      <c r="A91" s="1">
        <v>45650</v>
      </c>
      <c r="B91">
        <v>258.2</v>
      </c>
      <c r="C91">
        <f t="shared" si="1"/>
        <v>1.1412669882966294E-2</v>
      </c>
    </row>
    <row r="92" spans="1:3" x14ac:dyDescent="0.25">
      <c r="A92" s="1">
        <v>45652</v>
      </c>
      <c r="B92">
        <v>259.02</v>
      </c>
      <c r="C92">
        <f t="shared" si="1"/>
        <v>3.1708003828989626E-3</v>
      </c>
    </row>
    <row r="93" spans="1:3" x14ac:dyDescent="0.25">
      <c r="A93" s="1">
        <v>45653</v>
      </c>
      <c r="B93">
        <v>255.59</v>
      </c>
      <c r="C93">
        <f>LN(B93/B92)</f>
        <v>-1.3330680688083499E-2</v>
      </c>
    </row>
    <row r="94" spans="1:3" x14ac:dyDescent="0.25">
      <c r="A94" s="1">
        <v>45656</v>
      </c>
      <c r="B94">
        <v>252.2</v>
      </c>
      <c r="C94">
        <f t="shared" si="1"/>
        <v>-1.3352174576538492E-2</v>
      </c>
    </row>
    <row r="95" spans="1:3" x14ac:dyDescent="0.25">
      <c r="A95" s="1">
        <v>45657</v>
      </c>
      <c r="B95">
        <v>250.42</v>
      </c>
      <c r="C95">
        <f t="shared" si="1"/>
        <v>-7.0829152900175382E-3</v>
      </c>
    </row>
    <row r="96" spans="1:3" x14ac:dyDescent="0.25">
      <c r="A96" s="1">
        <v>45659</v>
      </c>
      <c r="B96">
        <v>243.85</v>
      </c>
      <c r="C96">
        <f t="shared" si="1"/>
        <v>-2.6586226084739983E-2</v>
      </c>
    </row>
    <row r="97" spans="1:3" x14ac:dyDescent="0.25">
      <c r="A97" s="1">
        <v>45660</v>
      </c>
      <c r="B97">
        <v>243.36</v>
      </c>
      <c r="C97">
        <f t="shared" si="1"/>
        <v>-2.0114536450788353E-3</v>
      </c>
    </row>
    <row r="98" spans="1:3" x14ac:dyDescent="0.25">
      <c r="A98" s="1">
        <v>45663</v>
      </c>
      <c r="B98">
        <v>245</v>
      </c>
      <c r="C98">
        <f t="shared" si="1"/>
        <v>6.7163820337442027E-3</v>
      </c>
    </row>
    <row r="99" spans="1:3" x14ac:dyDescent="0.25">
      <c r="A99" s="1">
        <v>45664</v>
      </c>
      <c r="B99">
        <v>242.21</v>
      </c>
      <c r="C99">
        <f t="shared" si="1"/>
        <v>-1.1453092086491822E-2</v>
      </c>
    </row>
    <row r="100" spans="1:3" x14ac:dyDescent="0.25">
      <c r="A100" s="1">
        <v>45665</v>
      </c>
      <c r="B100">
        <v>242.7</v>
      </c>
      <c r="C100">
        <f t="shared" si="1"/>
        <v>2.0209942743203797E-3</v>
      </c>
    </row>
    <row r="101" spans="1:3" x14ac:dyDescent="0.25">
      <c r="A101" s="1">
        <v>45667</v>
      </c>
      <c r="B101">
        <v>236.85</v>
      </c>
      <c r="C101">
        <f t="shared" si="1"/>
        <v>-2.4399083362794845E-2</v>
      </c>
    </row>
    <row r="102" spans="1:3" x14ac:dyDescent="0.25">
      <c r="A102" s="1">
        <v>45670</v>
      </c>
      <c r="B102">
        <v>234.4</v>
      </c>
      <c r="C102">
        <f t="shared" si="1"/>
        <v>-1.0397971666903203E-2</v>
      </c>
    </row>
    <row r="103" spans="1:3" x14ac:dyDescent="0.25">
      <c r="A103" s="1">
        <v>45671</v>
      </c>
      <c r="B103">
        <v>233.28</v>
      </c>
      <c r="C103">
        <f t="shared" si="1"/>
        <v>-4.7896088825642048E-3</v>
      </c>
    </row>
    <row r="104" spans="1:3" x14ac:dyDescent="0.25">
      <c r="A104" s="1">
        <v>45672</v>
      </c>
      <c r="B104">
        <v>237.87</v>
      </c>
      <c r="C104">
        <f t="shared" si="1"/>
        <v>1.9484857132124001E-2</v>
      </c>
    </row>
    <row r="105" spans="1:3" x14ac:dyDescent="0.25">
      <c r="A105" s="1">
        <v>45673</v>
      </c>
      <c r="B105">
        <v>228.26</v>
      </c>
      <c r="C105">
        <f t="shared" si="1"/>
        <v>-4.1238975826963314E-2</v>
      </c>
    </row>
    <row r="106" spans="1:3" x14ac:dyDescent="0.25">
      <c r="A106" s="1">
        <v>45674</v>
      </c>
      <c r="B106">
        <v>229.98</v>
      </c>
      <c r="C106">
        <f t="shared" si="1"/>
        <v>7.5070184950648353E-3</v>
      </c>
    </row>
    <row r="107" spans="1:3" x14ac:dyDescent="0.25">
      <c r="A107" s="1">
        <v>45678</v>
      </c>
      <c r="B107">
        <v>222.64</v>
      </c>
      <c r="C107">
        <f t="shared" si="1"/>
        <v>-3.2436231402883438E-2</v>
      </c>
    </row>
    <row r="108" spans="1:3" x14ac:dyDescent="0.25">
      <c r="A108" s="1">
        <v>45679</v>
      </c>
      <c r="B108">
        <v>223.83</v>
      </c>
      <c r="C108">
        <f t="shared" si="1"/>
        <v>5.3307179338975266E-3</v>
      </c>
    </row>
    <row r="109" spans="1:3" x14ac:dyDescent="0.25">
      <c r="A109" s="1">
        <v>45680</v>
      </c>
      <c r="B109">
        <v>223.66</v>
      </c>
      <c r="C109">
        <f t="shared" si="1"/>
        <v>-7.5979355149053557E-4</v>
      </c>
    </row>
    <row r="110" spans="1:3" x14ac:dyDescent="0.25">
      <c r="A110" s="1">
        <v>45681</v>
      </c>
      <c r="B110">
        <v>222.78</v>
      </c>
      <c r="C110">
        <f t="shared" si="1"/>
        <v>-3.9423041829985839E-3</v>
      </c>
    </row>
    <row r="111" spans="1:3" x14ac:dyDescent="0.25">
      <c r="A111" s="1">
        <v>45684</v>
      </c>
      <c r="B111">
        <v>229.86</v>
      </c>
      <c r="C111">
        <f t="shared" si="1"/>
        <v>3.1285690523568978E-2</v>
      </c>
    </row>
    <row r="112" spans="1:3" x14ac:dyDescent="0.25">
      <c r="A112" s="1">
        <v>45685</v>
      </c>
      <c r="B112">
        <v>238.26</v>
      </c>
      <c r="C112">
        <f t="shared" si="1"/>
        <v>3.5892086430602384E-2</v>
      </c>
    </row>
    <row r="113" spans="1:3" x14ac:dyDescent="0.25">
      <c r="A113" s="1">
        <v>45686</v>
      </c>
      <c r="B113">
        <v>239.36</v>
      </c>
      <c r="C113">
        <f t="shared" si="1"/>
        <v>4.6061804148975023E-3</v>
      </c>
    </row>
    <row r="114" spans="1:3" x14ac:dyDescent="0.25">
      <c r="A114" s="1">
        <v>45687</v>
      </c>
      <c r="B114">
        <v>237.59</v>
      </c>
      <c r="C114">
        <f t="shared" si="1"/>
        <v>-7.4221957254156003E-3</v>
      </c>
    </row>
    <row r="115" spans="1:3" x14ac:dyDescent="0.25">
      <c r="A115" s="1">
        <v>45688</v>
      </c>
      <c r="B115">
        <v>236</v>
      </c>
      <c r="C115">
        <f t="shared" si="1"/>
        <v>-6.714694035086833E-3</v>
      </c>
    </row>
    <row r="116" spans="1:3" x14ac:dyDescent="0.25">
      <c r="A116" s="1">
        <v>45691</v>
      </c>
      <c r="B116">
        <v>228.01</v>
      </c>
      <c r="C116">
        <f t="shared" si="1"/>
        <v>-3.4442317383852845E-2</v>
      </c>
    </row>
    <row r="117" spans="1:3" x14ac:dyDescent="0.25">
      <c r="A117" s="1">
        <v>45692</v>
      </c>
      <c r="B117">
        <v>232.8</v>
      </c>
      <c r="C117">
        <f t="shared" si="1"/>
        <v>2.0790228215525564E-2</v>
      </c>
    </row>
    <row r="118" spans="1:3" x14ac:dyDescent="0.25">
      <c r="A118" s="1">
        <v>45693</v>
      </c>
      <c r="B118">
        <v>232.47</v>
      </c>
      <c r="C118">
        <f t="shared" si="1"/>
        <v>-1.4185314133143574E-3</v>
      </c>
    </row>
    <row r="119" spans="1:3" x14ac:dyDescent="0.25">
      <c r="A119" s="1">
        <v>45694</v>
      </c>
      <c r="B119">
        <v>233.22</v>
      </c>
      <c r="C119">
        <f t="shared" si="1"/>
        <v>3.2210296482183117E-3</v>
      </c>
    </row>
    <row r="120" spans="1:3" x14ac:dyDescent="0.25">
      <c r="A120" s="1">
        <v>45695</v>
      </c>
      <c r="B120">
        <v>227.63</v>
      </c>
      <c r="C120">
        <f t="shared" si="1"/>
        <v>-2.4260710332889599E-2</v>
      </c>
    </row>
    <row r="121" spans="1:3" x14ac:dyDescent="0.25">
      <c r="A121" s="1">
        <v>45698</v>
      </c>
      <c r="B121">
        <v>227.65</v>
      </c>
      <c r="C121">
        <f t="shared" si="1"/>
        <v>8.7858021493861051E-5</v>
      </c>
    </row>
    <row r="122" spans="1:3" x14ac:dyDescent="0.25">
      <c r="A122" s="1">
        <v>45699</v>
      </c>
      <c r="B122">
        <v>232.62</v>
      </c>
      <c r="C122">
        <f t="shared" si="1"/>
        <v>2.1596859130101596E-2</v>
      </c>
    </row>
    <row r="123" spans="1:3" x14ac:dyDescent="0.25">
      <c r="A123" s="1">
        <v>45700</v>
      </c>
      <c r="B123">
        <v>236.87</v>
      </c>
      <c r="C123">
        <f t="shared" si="1"/>
        <v>1.810524652359782E-2</v>
      </c>
    </row>
    <row r="124" spans="1:3" x14ac:dyDescent="0.25">
      <c r="A124" s="1">
        <v>45701</v>
      </c>
      <c r="B124">
        <v>241.53</v>
      </c>
      <c r="C124">
        <f t="shared" si="1"/>
        <v>1.9482221545508639E-2</v>
      </c>
    </row>
    <row r="125" spans="1:3" x14ac:dyDescent="0.25">
      <c r="A125" s="1">
        <v>45702</v>
      </c>
      <c r="B125">
        <v>244.6</v>
      </c>
      <c r="C125">
        <f t="shared" si="1"/>
        <v>1.2630534273072785E-2</v>
      </c>
    </row>
    <row r="126" spans="1:3" x14ac:dyDescent="0.25">
      <c r="A126" s="1">
        <v>45706</v>
      </c>
      <c r="B126">
        <v>244.47</v>
      </c>
      <c r="C126">
        <f t="shared" si="1"/>
        <v>-5.3162125283384893E-4</v>
      </c>
    </row>
    <row r="127" spans="1:3" x14ac:dyDescent="0.25">
      <c r="A127" s="1">
        <v>45707</v>
      </c>
      <c r="B127">
        <v>244.87</v>
      </c>
      <c r="C127">
        <f t="shared" si="1"/>
        <v>1.6348554750960618E-3</v>
      </c>
    </row>
    <row r="128" spans="1:3" x14ac:dyDescent="0.25">
      <c r="A128" s="1">
        <v>45708</v>
      </c>
      <c r="B128">
        <v>245.83</v>
      </c>
      <c r="C128">
        <f t="shared" si="1"/>
        <v>3.9127826565687213E-3</v>
      </c>
    </row>
  </sheetData>
  <sortState xmlns:xlrd2="http://schemas.microsoft.com/office/spreadsheetml/2017/richdata2" ref="A2:B128">
    <sortCondition ref="A1:A128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BCC85-C997-483F-BDFB-963B7C5A022E}">
  <sheetPr codeName="Sheet3"/>
  <dimension ref="A1:F128"/>
  <sheetViews>
    <sheetView workbookViewId="0">
      <selection sqref="A1:F1048576"/>
    </sheetView>
  </sheetViews>
  <sheetFormatPr defaultColWidth="8.85546875" defaultRowHeight="15" x14ac:dyDescent="0.25"/>
  <cols>
    <col min="1" max="1" width="10.42578125" bestFit="1" customWidth="1"/>
    <col min="3" max="3" width="10.85546875" bestFit="1" customWidth="1"/>
    <col min="4" max="4" width="13.7109375" bestFit="1" customWidth="1"/>
    <col min="5" max="5" width="7.140625" bestFit="1" customWidth="1"/>
    <col min="6" max="6" width="19.42578125" bestFit="1" customWidth="1"/>
  </cols>
  <sheetData>
    <row r="1" spans="1:6" x14ac:dyDescent="0.25">
      <c r="A1" t="s">
        <v>0</v>
      </c>
      <c r="B1" t="s">
        <v>1</v>
      </c>
      <c r="C1" t="s">
        <v>6</v>
      </c>
      <c r="D1" s="4" t="s">
        <v>5</v>
      </c>
      <c r="E1" t="s">
        <v>2</v>
      </c>
      <c r="F1" t="s">
        <v>7</v>
      </c>
    </row>
    <row r="2" spans="1:6" x14ac:dyDescent="0.25">
      <c r="A2" s="1">
        <v>45523</v>
      </c>
      <c r="B2">
        <v>130</v>
      </c>
      <c r="D2" s="4">
        <f>_xlfn.STDEV.S(C3:C128)</f>
        <v>3.3136362283569504E-2</v>
      </c>
      <c r="E2" s="3" cm="1">
        <f t="array" ref="E2">CalculateCAGR(B3,B128,1)</f>
        <v>0.10123052352268025</v>
      </c>
      <c r="F2">
        <f>D2*SQRT(252)</f>
        <v>0.52602344373399157</v>
      </c>
    </row>
    <row r="3" spans="1:6" x14ac:dyDescent="0.25">
      <c r="A3" s="1">
        <v>45524</v>
      </c>
      <c r="B3">
        <v>127.2304</v>
      </c>
      <c r="C3">
        <f>LN(B3/B2)</f>
        <v>-2.1534834393316219E-2</v>
      </c>
    </row>
    <row r="4" spans="1:6" x14ac:dyDescent="0.25">
      <c r="A4" s="1">
        <v>45525</v>
      </c>
      <c r="B4">
        <v>128.4802</v>
      </c>
      <c r="C4">
        <f t="shared" ref="C4:C66" si="0">LN(B4/B3)</f>
        <v>9.7751907974892218E-3</v>
      </c>
    </row>
    <row r="5" spans="1:6" x14ac:dyDescent="0.25">
      <c r="A5" s="1">
        <v>45526</v>
      </c>
      <c r="B5">
        <v>123.7209</v>
      </c>
      <c r="C5">
        <f t="shared" si="0"/>
        <v>-3.7746584578559901E-2</v>
      </c>
    </row>
    <row r="6" spans="1:6" x14ac:dyDescent="0.25">
      <c r="A6" s="1">
        <v>45527</v>
      </c>
      <c r="B6">
        <v>129.3501</v>
      </c>
      <c r="C6">
        <f t="shared" si="0"/>
        <v>4.4494459446794289E-2</v>
      </c>
    </row>
    <row r="7" spans="1:6" x14ac:dyDescent="0.25">
      <c r="A7" s="1">
        <v>45530</v>
      </c>
      <c r="B7">
        <v>126.4405</v>
      </c>
      <c r="C7">
        <f t="shared" si="0"/>
        <v>-2.2750839943595686E-2</v>
      </c>
    </row>
    <row r="8" spans="1:6" x14ac:dyDescent="0.25">
      <c r="A8" s="1">
        <v>45531</v>
      </c>
      <c r="B8">
        <v>128.28020000000001</v>
      </c>
      <c r="C8">
        <f t="shared" si="0"/>
        <v>1.4445092128836552E-2</v>
      </c>
    </row>
    <row r="9" spans="1:6" x14ac:dyDescent="0.25">
      <c r="A9" s="1">
        <v>45532</v>
      </c>
      <c r="B9">
        <v>125.5907</v>
      </c>
      <c r="C9">
        <f t="shared" si="0"/>
        <v>-2.1188727206555187E-2</v>
      </c>
    </row>
    <row r="10" spans="1:6" x14ac:dyDescent="0.25">
      <c r="A10" s="1">
        <v>45533</v>
      </c>
      <c r="B10">
        <v>117.5719</v>
      </c>
      <c r="C10">
        <f t="shared" si="0"/>
        <v>-6.597814537242308E-2</v>
      </c>
    </row>
    <row r="11" spans="1:6" x14ac:dyDescent="0.25">
      <c r="A11" s="1">
        <v>45534</v>
      </c>
      <c r="B11">
        <v>119.3516</v>
      </c>
      <c r="C11">
        <f t="shared" si="0"/>
        <v>1.5023697309617712E-2</v>
      </c>
    </row>
    <row r="12" spans="1:6" x14ac:dyDescent="0.25">
      <c r="A12" s="1">
        <v>45538</v>
      </c>
      <c r="B12">
        <v>107.9834</v>
      </c>
      <c r="C12">
        <f t="shared" si="0"/>
        <v>-0.10009624703697881</v>
      </c>
    </row>
    <row r="13" spans="1:6" x14ac:dyDescent="0.25">
      <c r="A13" s="1">
        <v>45539</v>
      </c>
      <c r="B13">
        <v>106.1936</v>
      </c>
      <c r="C13">
        <f t="shared" si="0"/>
        <v>-1.6713668268463631E-2</v>
      </c>
    </row>
    <row r="14" spans="1:6" x14ac:dyDescent="0.25">
      <c r="A14" s="1">
        <v>45540</v>
      </c>
      <c r="B14">
        <v>107.1935</v>
      </c>
      <c r="C14">
        <f t="shared" si="0"/>
        <v>9.3717691315806789E-3</v>
      </c>
    </row>
    <row r="15" spans="1:6" x14ac:dyDescent="0.25">
      <c r="A15" s="1">
        <v>45541</v>
      </c>
      <c r="B15">
        <v>102.8142</v>
      </c>
      <c r="C15">
        <f t="shared" si="0"/>
        <v>-4.1712136692610743E-2</v>
      </c>
    </row>
    <row r="16" spans="1:6" x14ac:dyDescent="0.25">
      <c r="A16" s="1">
        <v>45544</v>
      </c>
      <c r="B16">
        <v>106.45359999999999</v>
      </c>
      <c r="C16">
        <f t="shared" si="0"/>
        <v>3.4785733684474469E-2</v>
      </c>
    </row>
    <row r="17" spans="1:3" x14ac:dyDescent="0.25">
      <c r="A17" s="1">
        <v>45545</v>
      </c>
      <c r="B17">
        <v>108.0834</v>
      </c>
      <c r="C17">
        <f t="shared" si="0"/>
        <v>1.5193941874399897E-2</v>
      </c>
    </row>
    <row r="18" spans="1:3" x14ac:dyDescent="0.25">
      <c r="A18" s="1">
        <v>45546</v>
      </c>
      <c r="B18">
        <v>116.892</v>
      </c>
      <c r="C18">
        <f t="shared" si="0"/>
        <v>7.834728024054706E-2</v>
      </c>
    </row>
    <row r="19" spans="1:3" x14ac:dyDescent="0.25">
      <c r="A19" s="1">
        <v>45547</v>
      </c>
      <c r="B19">
        <v>119.1318</v>
      </c>
      <c r="C19">
        <f t="shared" si="0"/>
        <v>1.8980011664498215E-2</v>
      </c>
    </row>
    <row r="20" spans="1:3" x14ac:dyDescent="0.25">
      <c r="A20" s="1">
        <v>45548</v>
      </c>
      <c r="B20">
        <v>119.09180000000001</v>
      </c>
      <c r="C20">
        <f t="shared" si="0"/>
        <v>-3.3581895644176502E-4</v>
      </c>
    </row>
    <row r="21" spans="1:3" x14ac:dyDescent="0.25">
      <c r="A21" s="1">
        <v>45551</v>
      </c>
      <c r="B21">
        <v>116.7719</v>
      </c>
      <c r="C21">
        <f t="shared" si="0"/>
        <v>-1.9672165027067482E-2</v>
      </c>
    </row>
    <row r="22" spans="1:3" x14ac:dyDescent="0.25">
      <c r="A22" s="1">
        <v>45552</v>
      </c>
      <c r="B22">
        <v>115.58199999999999</v>
      </c>
      <c r="C22">
        <f t="shared" si="0"/>
        <v>-1.0242224486049672E-2</v>
      </c>
    </row>
    <row r="23" spans="1:3" x14ac:dyDescent="0.25">
      <c r="A23" s="1">
        <v>45553</v>
      </c>
      <c r="B23">
        <v>113.3622</v>
      </c>
      <c r="C23">
        <f t="shared" si="0"/>
        <v>-1.9392232379344239E-2</v>
      </c>
    </row>
    <row r="24" spans="1:3" x14ac:dyDescent="0.25">
      <c r="A24" s="1">
        <v>45554</v>
      </c>
      <c r="B24">
        <v>117.86190000000001</v>
      </c>
      <c r="C24">
        <f t="shared" si="0"/>
        <v>3.8925597708727715E-2</v>
      </c>
    </row>
    <row r="25" spans="1:3" x14ac:dyDescent="0.25">
      <c r="A25" s="1">
        <v>45555</v>
      </c>
      <c r="B25">
        <v>115.992</v>
      </c>
      <c r="C25">
        <f t="shared" si="0"/>
        <v>-1.5992376890249047E-2</v>
      </c>
    </row>
    <row r="26" spans="1:3" x14ac:dyDescent="0.25">
      <c r="A26" s="1">
        <v>45558</v>
      </c>
      <c r="B26">
        <v>116.252</v>
      </c>
      <c r="C26">
        <f t="shared" si="0"/>
        <v>2.2390254096559359E-3</v>
      </c>
    </row>
    <row r="27" spans="1:3" x14ac:dyDescent="0.25">
      <c r="A27" s="1">
        <v>45559</v>
      </c>
      <c r="B27">
        <v>120.8617</v>
      </c>
      <c r="C27">
        <f t="shared" si="0"/>
        <v>3.8886668075267763E-2</v>
      </c>
    </row>
    <row r="28" spans="1:3" x14ac:dyDescent="0.25">
      <c r="A28" s="1">
        <v>45560</v>
      </c>
      <c r="B28">
        <v>123.50149999999999</v>
      </c>
      <c r="C28">
        <f t="shared" si="0"/>
        <v>2.160638504744428E-2</v>
      </c>
    </row>
    <row r="29" spans="1:3" x14ac:dyDescent="0.25">
      <c r="A29" s="1">
        <v>45561</v>
      </c>
      <c r="B29">
        <v>124.0314</v>
      </c>
      <c r="C29">
        <f t="shared" si="0"/>
        <v>4.2814576119847569E-3</v>
      </c>
    </row>
    <row r="30" spans="1:3" x14ac:dyDescent="0.25">
      <c r="A30" s="1">
        <v>45562</v>
      </c>
      <c r="B30">
        <v>121.3916</v>
      </c>
      <c r="C30">
        <f t="shared" si="0"/>
        <v>-2.1513075875012048E-2</v>
      </c>
    </row>
    <row r="31" spans="1:3" x14ac:dyDescent="0.25">
      <c r="A31" s="1">
        <v>45565</v>
      </c>
      <c r="B31">
        <v>121.4316</v>
      </c>
      <c r="C31">
        <f t="shared" si="0"/>
        <v>3.2945781425995434E-4</v>
      </c>
    </row>
    <row r="32" spans="1:3" x14ac:dyDescent="0.25">
      <c r="A32" s="1">
        <v>45566</v>
      </c>
      <c r="B32">
        <v>116.9919</v>
      </c>
      <c r="C32">
        <f t="shared" si="0"/>
        <v>-3.7246439662528469E-2</v>
      </c>
    </row>
    <row r="33" spans="1:3" x14ac:dyDescent="0.25">
      <c r="A33" s="1">
        <v>45567</v>
      </c>
      <c r="B33">
        <v>118.84180000000001</v>
      </c>
      <c r="C33">
        <f t="shared" si="0"/>
        <v>1.568849526308444E-2</v>
      </c>
    </row>
    <row r="34" spans="1:3" x14ac:dyDescent="0.25">
      <c r="A34" s="1">
        <v>45568</v>
      </c>
      <c r="B34">
        <v>122.8415</v>
      </c>
      <c r="C34">
        <f t="shared" si="0"/>
        <v>3.3101709609205304E-2</v>
      </c>
    </row>
    <row r="35" spans="1:3" x14ac:dyDescent="0.25">
      <c r="A35" s="1">
        <v>45569</v>
      </c>
      <c r="B35">
        <v>124.9114</v>
      </c>
      <c r="C35">
        <f t="shared" si="0"/>
        <v>1.6709779480563423E-2</v>
      </c>
    </row>
    <row r="36" spans="1:3" x14ac:dyDescent="0.25">
      <c r="A36" s="1">
        <v>45572</v>
      </c>
      <c r="B36">
        <v>127.71120000000001</v>
      </c>
      <c r="C36">
        <f t="shared" si="0"/>
        <v>2.2166778767673638E-2</v>
      </c>
    </row>
    <row r="37" spans="1:3" x14ac:dyDescent="0.25">
      <c r="A37" s="1">
        <v>45573</v>
      </c>
      <c r="B37">
        <v>132.88079999999999</v>
      </c>
      <c r="C37">
        <f t="shared" si="0"/>
        <v>3.9681021004021183E-2</v>
      </c>
    </row>
    <row r="38" spans="1:3" x14ac:dyDescent="0.25">
      <c r="A38" s="1">
        <v>45574</v>
      </c>
      <c r="B38">
        <v>132.64089999999999</v>
      </c>
      <c r="C38">
        <f t="shared" si="0"/>
        <v>-1.8070091090742143E-3</v>
      </c>
    </row>
    <row r="39" spans="1:3" x14ac:dyDescent="0.25">
      <c r="A39" s="1">
        <v>45575</v>
      </c>
      <c r="B39">
        <v>134.80070000000001</v>
      </c>
      <c r="C39">
        <f t="shared" si="0"/>
        <v>1.6151914695623128E-2</v>
      </c>
    </row>
    <row r="40" spans="1:3" x14ac:dyDescent="0.25">
      <c r="A40" s="1">
        <v>45576</v>
      </c>
      <c r="B40">
        <v>134.79069999999999</v>
      </c>
      <c r="C40">
        <f t="shared" si="0"/>
        <v>-7.418634277362815E-5</v>
      </c>
    </row>
    <row r="41" spans="1:3" x14ac:dyDescent="0.25">
      <c r="A41" s="1">
        <v>45579</v>
      </c>
      <c r="B41">
        <v>138.06049999999999</v>
      </c>
      <c r="C41">
        <f t="shared" si="0"/>
        <v>2.3968789882273963E-2</v>
      </c>
    </row>
    <row r="42" spans="1:3" x14ac:dyDescent="0.25">
      <c r="A42" s="1">
        <v>45580</v>
      </c>
      <c r="B42">
        <v>131.5909</v>
      </c>
      <c r="C42">
        <f t="shared" si="0"/>
        <v>-4.7994127318413717E-2</v>
      </c>
    </row>
    <row r="43" spans="1:3" x14ac:dyDescent="0.25">
      <c r="A43" s="1">
        <v>45581</v>
      </c>
      <c r="B43">
        <v>135.7106</v>
      </c>
      <c r="C43">
        <f t="shared" si="0"/>
        <v>3.0826809711605344E-2</v>
      </c>
    </row>
    <row r="44" spans="1:3" x14ac:dyDescent="0.25">
      <c r="A44" s="1">
        <v>45582</v>
      </c>
      <c r="B44">
        <v>136.9205</v>
      </c>
      <c r="C44">
        <f t="shared" si="0"/>
        <v>8.8757881470182039E-3</v>
      </c>
    </row>
    <row r="45" spans="1:3" x14ac:dyDescent="0.25">
      <c r="A45" s="1">
        <v>45583</v>
      </c>
      <c r="B45">
        <v>137.9905</v>
      </c>
      <c r="C45">
        <f t="shared" si="0"/>
        <v>7.7843767851006745E-3</v>
      </c>
    </row>
    <row r="46" spans="1:3" x14ac:dyDescent="0.25">
      <c r="A46" s="1">
        <v>45586</v>
      </c>
      <c r="B46">
        <v>143.70009999999999</v>
      </c>
      <c r="C46">
        <f t="shared" si="0"/>
        <v>4.054364677108812E-2</v>
      </c>
    </row>
    <row r="47" spans="1:3" x14ac:dyDescent="0.25">
      <c r="A47" s="1">
        <v>45587</v>
      </c>
      <c r="B47">
        <v>143.58009999999999</v>
      </c>
      <c r="C47">
        <f t="shared" si="0"/>
        <v>-8.3542135503455572E-4</v>
      </c>
    </row>
    <row r="48" spans="1:3" x14ac:dyDescent="0.25">
      <c r="A48" s="1">
        <v>45588</v>
      </c>
      <c r="B48">
        <v>139.5504</v>
      </c>
      <c r="C48">
        <f t="shared" si="0"/>
        <v>-2.8467241289558742E-2</v>
      </c>
    </row>
    <row r="49" spans="1:3" x14ac:dyDescent="0.25">
      <c r="A49" s="1">
        <v>45589</v>
      </c>
      <c r="B49">
        <v>140.40029999999999</v>
      </c>
      <c r="C49">
        <f t="shared" si="0"/>
        <v>6.0718020071965431E-3</v>
      </c>
    </row>
    <row r="50" spans="1:3" x14ac:dyDescent="0.25">
      <c r="A50" s="1">
        <v>45590</v>
      </c>
      <c r="B50">
        <v>141.53020000000001</v>
      </c>
      <c r="C50">
        <f t="shared" si="0"/>
        <v>8.0154935311432182E-3</v>
      </c>
    </row>
    <row r="51" spans="1:3" x14ac:dyDescent="0.25">
      <c r="A51" s="1">
        <v>45593</v>
      </c>
      <c r="B51">
        <v>140.5103</v>
      </c>
      <c r="C51">
        <f t="shared" si="0"/>
        <v>-7.2323261773845271E-3</v>
      </c>
    </row>
    <row r="52" spans="1:3" x14ac:dyDescent="0.25">
      <c r="A52" s="1">
        <v>45594</v>
      </c>
      <c r="B52">
        <v>141.24019999999999</v>
      </c>
      <c r="C52">
        <f t="shared" si="0"/>
        <v>5.1811913933131389E-3</v>
      </c>
    </row>
    <row r="53" spans="1:3" x14ac:dyDescent="0.25">
      <c r="A53" s="1">
        <v>45595</v>
      </c>
      <c r="B53">
        <v>139.3254</v>
      </c>
      <c r="C53">
        <f t="shared" si="0"/>
        <v>-1.3649782652050838E-2</v>
      </c>
    </row>
    <row r="54" spans="1:3" x14ac:dyDescent="0.25">
      <c r="A54" s="1">
        <v>45596</v>
      </c>
      <c r="B54">
        <v>132.7508</v>
      </c>
      <c r="C54">
        <f t="shared" si="0"/>
        <v>-4.8338517967347484E-2</v>
      </c>
    </row>
    <row r="55" spans="1:3" x14ac:dyDescent="0.25">
      <c r="A55" s="1">
        <v>45597</v>
      </c>
      <c r="B55">
        <v>135.39070000000001</v>
      </c>
      <c r="C55">
        <f t="shared" si="0"/>
        <v>1.9690986273326279E-2</v>
      </c>
    </row>
    <row r="56" spans="1:3" x14ac:dyDescent="0.25">
      <c r="A56" s="1">
        <v>45600</v>
      </c>
      <c r="B56">
        <v>136.04060000000001</v>
      </c>
      <c r="C56">
        <f t="shared" si="0"/>
        <v>4.7886978542137368E-3</v>
      </c>
    </row>
    <row r="57" spans="1:3" x14ac:dyDescent="0.25">
      <c r="A57" s="1">
        <v>45601</v>
      </c>
      <c r="B57">
        <v>139.90029999999999</v>
      </c>
      <c r="C57">
        <f t="shared" si="0"/>
        <v>2.7976655461207159E-2</v>
      </c>
    </row>
    <row r="58" spans="1:3" x14ac:dyDescent="0.25">
      <c r="A58" s="1">
        <v>45602</v>
      </c>
      <c r="B58">
        <v>145.6</v>
      </c>
      <c r="C58">
        <f t="shared" si="0"/>
        <v>3.9933109704600275E-2</v>
      </c>
    </row>
    <row r="59" spans="1:3" x14ac:dyDescent="0.25">
      <c r="A59" s="1">
        <v>45603</v>
      </c>
      <c r="B59">
        <v>148.86969999999999</v>
      </c>
      <c r="C59">
        <f t="shared" si="0"/>
        <v>2.2208290943319307E-2</v>
      </c>
    </row>
    <row r="60" spans="1:3" x14ac:dyDescent="0.25">
      <c r="A60" s="1">
        <v>45604</v>
      </c>
      <c r="B60">
        <v>147.6198</v>
      </c>
      <c r="C60">
        <f t="shared" si="0"/>
        <v>-8.4313771948853096E-3</v>
      </c>
    </row>
    <row r="61" spans="1:3" x14ac:dyDescent="0.25">
      <c r="A61" s="1">
        <v>45607</v>
      </c>
      <c r="B61">
        <v>145.25</v>
      </c>
      <c r="C61">
        <f t="shared" si="0"/>
        <v>-1.6183653778998993E-2</v>
      </c>
    </row>
    <row r="62" spans="1:3" x14ac:dyDescent="0.25">
      <c r="A62" s="1">
        <v>45608</v>
      </c>
      <c r="B62">
        <v>148.27979999999999</v>
      </c>
      <c r="C62">
        <f t="shared" si="0"/>
        <v>2.0644633750032906E-2</v>
      </c>
    </row>
    <row r="63" spans="1:3" x14ac:dyDescent="0.25">
      <c r="A63" s="1">
        <v>45609</v>
      </c>
      <c r="B63">
        <v>146.25989999999999</v>
      </c>
      <c r="C63">
        <f t="shared" si="0"/>
        <v>-1.371585335341623E-2</v>
      </c>
    </row>
    <row r="64" spans="1:3" x14ac:dyDescent="0.25">
      <c r="A64" s="1">
        <v>45610</v>
      </c>
      <c r="B64">
        <v>146.7499</v>
      </c>
      <c r="C64">
        <f t="shared" si="0"/>
        <v>3.3446011483313468E-3</v>
      </c>
    </row>
    <row r="65" spans="1:3" x14ac:dyDescent="0.25">
      <c r="A65" s="1">
        <v>45611</v>
      </c>
      <c r="B65">
        <v>141.97020000000001</v>
      </c>
      <c r="C65">
        <f t="shared" si="0"/>
        <v>-3.3112600854151103E-2</v>
      </c>
    </row>
    <row r="66" spans="1:3" x14ac:dyDescent="0.25">
      <c r="A66" s="1">
        <v>45614</v>
      </c>
      <c r="B66">
        <v>140.1403</v>
      </c>
      <c r="C66">
        <f t="shared" si="0"/>
        <v>-1.2973112766294582E-2</v>
      </c>
    </row>
    <row r="67" spans="1:3" x14ac:dyDescent="0.25">
      <c r="A67" s="1">
        <v>45615</v>
      </c>
      <c r="B67">
        <v>146.9999</v>
      </c>
      <c r="C67">
        <f t="shared" ref="C67:C127" si="1">LN(B67/B66)</f>
        <v>4.7787842849873217E-2</v>
      </c>
    </row>
    <row r="68" spans="1:3" x14ac:dyDescent="0.25">
      <c r="A68" s="1">
        <v>45616</v>
      </c>
      <c r="B68">
        <v>145.87989999999999</v>
      </c>
      <c r="C68">
        <f t="shared" si="1"/>
        <v>-7.648226061078906E-3</v>
      </c>
    </row>
    <row r="69" spans="1:3" x14ac:dyDescent="0.25">
      <c r="A69" s="1">
        <v>45617</v>
      </c>
      <c r="B69">
        <v>146.65989999999999</v>
      </c>
      <c r="C69">
        <f t="shared" si="1"/>
        <v>5.3326203709288984E-3</v>
      </c>
    </row>
    <row r="70" spans="1:3" x14ac:dyDescent="0.25">
      <c r="A70" s="1">
        <v>45618</v>
      </c>
      <c r="B70">
        <v>141.9402</v>
      </c>
      <c r="C70">
        <f t="shared" si="1"/>
        <v>-3.2710458674325975E-2</v>
      </c>
    </row>
    <row r="71" spans="1:3" x14ac:dyDescent="0.25">
      <c r="A71" s="1">
        <v>45621</v>
      </c>
      <c r="B71">
        <v>136.01060000000001</v>
      </c>
      <c r="C71">
        <f t="shared" si="1"/>
        <v>-4.2673018266652984E-2</v>
      </c>
    </row>
    <row r="72" spans="1:3" x14ac:dyDescent="0.25">
      <c r="A72" s="1">
        <v>45622</v>
      </c>
      <c r="B72">
        <v>136.91059999999999</v>
      </c>
      <c r="C72">
        <f t="shared" si="1"/>
        <v>6.5953342018142272E-3</v>
      </c>
    </row>
    <row r="73" spans="1:3" x14ac:dyDescent="0.25">
      <c r="A73" s="1">
        <v>45623</v>
      </c>
      <c r="B73">
        <v>135.33070000000001</v>
      </c>
      <c r="C73">
        <f t="shared" si="1"/>
        <v>-1.1606745460848977E-2</v>
      </c>
    </row>
    <row r="74" spans="1:3" x14ac:dyDescent="0.25">
      <c r="A74" s="1">
        <v>45625</v>
      </c>
      <c r="B74">
        <v>138.2405</v>
      </c>
      <c r="C74">
        <f t="shared" si="1"/>
        <v>2.1273509331120377E-2</v>
      </c>
    </row>
    <row r="75" spans="1:3" x14ac:dyDescent="0.25">
      <c r="A75" s="1">
        <v>45628</v>
      </c>
      <c r="B75">
        <v>138.62039999999999</v>
      </c>
      <c r="C75">
        <f t="shared" si="1"/>
        <v>2.7443401248179616E-3</v>
      </c>
    </row>
    <row r="76" spans="1:3" x14ac:dyDescent="0.25">
      <c r="A76" s="1">
        <v>45629</v>
      </c>
      <c r="B76">
        <v>140.25030000000001</v>
      </c>
      <c r="C76">
        <f t="shared" si="1"/>
        <v>1.1689421365780377E-2</v>
      </c>
    </row>
    <row r="77" spans="1:3" x14ac:dyDescent="0.25">
      <c r="A77" s="1">
        <v>45630</v>
      </c>
      <c r="B77">
        <v>145.13</v>
      </c>
      <c r="C77">
        <f t="shared" si="1"/>
        <v>3.4201209044320197E-2</v>
      </c>
    </row>
    <row r="78" spans="1:3" x14ac:dyDescent="0.25">
      <c r="A78" s="1">
        <v>45631</v>
      </c>
      <c r="B78">
        <v>145.06</v>
      </c>
      <c r="C78">
        <f t="shared" si="1"/>
        <v>-4.8244254700509847E-4</v>
      </c>
    </row>
    <row r="79" spans="1:3" x14ac:dyDescent="0.25">
      <c r="A79" s="1">
        <v>45632</v>
      </c>
      <c r="B79">
        <v>142.44</v>
      </c>
      <c r="C79">
        <f t="shared" si="1"/>
        <v>-1.8226591525689419E-2</v>
      </c>
    </row>
    <row r="80" spans="1:3" x14ac:dyDescent="0.25">
      <c r="A80" s="1">
        <v>45635</v>
      </c>
      <c r="B80">
        <v>138.81</v>
      </c>
      <c r="C80">
        <f t="shared" si="1"/>
        <v>-2.5814766822559045E-2</v>
      </c>
    </row>
    <row r="81" spans="1:3" x14ac:dyDescent="0.25">
      <c r="A81" s="1">
        <v>45636</v>
      </c>
      <c r="B81">
        <v>135.07</v>
      </c>
      <c r="C81">
        <f t="shared" si="1"/>
        <v>-2.731292901434523E-2</v>
      </c>
    </row>
    <row r="82" spans="1:3" x14ac:dyDescent="0.25">
      <c r="A82" s="1">
        <v>45637</v>
      </c>
      <c r="B82">
        <v>139.31</v>
      </c>
      <c r="C82">
        <f t="shared" si="1"/>
        <v>3.0908503145460821E-2</v>
      </c>
    </row>
    <row r="83" spans="1:3" x14ac:dyDescent="0.25">
      <c r="A83" s="1">
        <v>45638</v>
      </c>
      <c r="B83">
        <v>137.34</v>
      </c>
      <c r="C83">
        <f t="shared" si="1"/>
        <v>-1.4242062525603194E-2</v>
      </c>
    </row>
    <row r="84" spans="1:3" x14ac:dyDescent="0.25">
      <c r="A84" s="1">
        <v>45639</v>
      </c>
      <c r="B84">
        <v>134.25</v>
      </c>
      <c r="C84">
        <f t="shared" si="1"/>
        <v>-2.2755869803556265E-2</v>
      </c>
    </row>
    <row r="85" spans="1:3" x14ac:dyDescent="0.25">
      <c r="A85" s="1">
        <v>45642</v>
      </c>
      <c r="B85">
        <v>132</v>
      </c>
      <c r="C85">
        <f t="shared" si="1"/>
        <v>-1.6901810802603254E-2</v>
      </c>
    </row>
    <row r="86" spans="1:3" x14ac:dyDescent="0.25">
      <c r="A86" s="1">
        <v>45643</v>
      </c>
      <c r="B86">
        <v>130.38999999999999</v>
      </c>
      <c r="C86">
        <f t="shared" si="1"/>
        <v>-1.2271963150990077E-2</v>
      </c>
    </row>
    <row r="87" spans="1:3" x14ac:dyDescent="0.25">
      <c r="A87" s="1">
        <v>45644</v>
      </c>
      <c r="B87">
        <v>128.91</v>
      </c>
      <c r="C87">
        <f t="shared" si="1"/>
        <v>-1.1415472980367396E-2</v>
      </c>
    </row>
    <row r="88" spans="1:3" x14ac:dyDescent="0.25">
      <c r="A88" s="1">
        <v>45645</v>
      </c>
      <c r="B88">
        <v>130.68</v>
      </c>
      <c r="C88">
        <f t="shared" si="1"/>
        <v>1.3637100277856131E-2</v>
      </c>
    </row>
    <row r="89" spans="1:3" x14ac:dyDescent="0.25">
      <c r="A89" s="1">
        <v>45646</v>
      </c>
      <c r="B89">
        <v>134.69999999999999</v>
      </c>
      <c r="C89">
        <f t="shared" si="1"/>
        <v>3.0298496683448778E-2</v>
      </c>
    </row>
    <row r="90" spans="1:3" x14ac:dyDescent="0.25">
      <c r="A90" s="1">
        <v>45649</v>
      </c>
      <c r="B90">
        <v>139.66999999999999</v>
      </c>
      <c r="C90">
        <f t="shared" si="1"/>
        <v>3.6232413901361615E-2</v>
      </c>
    </row>
    <row r="91" spans="1:3" x14ac:dyDescent="0.25">
      <c r="A91" s="1">
        <v>45650</v>
      </c>
      <c r="B91">
        <v>140.22</v>
      </c>
      <c r="C91">
        <f t="shared" si="1"/>
        <v>3.9301204611417624E-3</v>
      </c>
    </row>
    <row r="92" spans="1:3" x14ac:dyDescent="0.25">
      <c r="A92" s="1">
        <v>45652</v>
      </c>
      <c r="B92">
        <v>139.93</v>
      </c>
      <c r="C92">
        <f t="shared" si="1"/>
        <v>-2.070320211199508E-3</v>
      </c>
    </row>
    <row r="93" spans="1:3" x14ac:dyDescent="0.25">
      <c r="A93" s="1">
        <v>45653</v>
      </c>
      <c r="B93">
        <v>137.01</v>
      </c>
      <c r="C93">
        <f t="shared" si="1"/>
        <v>-2.1088381702604804E-2</v>
      </c>
    </row>
    <row r="94" spans="1:3" x14ac:dyDescent="0.25">
      <c r="A94" s="1">
        <v>45656</v>
      </c>
      <c r="B94">
        <v>137.49</v>
      </c>
      <c r="C94">
        <f t="shared" si="1"/>
        <v>3.4972713241252736E-3</v>
      </c>
    </row>
    <row r="95" spans="1:3" x14ac:dyDescent="0.25">
      <c r="A95" s="1">
        <v>45657</v>
      </c>
      <c r="B95">
        <v>134.29</v>
      </c>
      <c r="C95">
        <f t="shared" si="1"/>
        <v>-2.3549546596058561E-2</v>
      </c>
    </row>
    <row r="96" spans="1:3" x14ac:dyDescent="0.25">
      <c r="A96" s="1">
        <v>45659</v>
      </c>
      <c r="B96">
        <v>138.31</v>
      </c>
      <c r="C96">
        <f t="shared" si="1"/>
        <v>2.9495902043532696E-2</v>
      </c>
    </row>
    <row r="97" spans="1:3" x14ac:dyDescent="0.25">
      <c r="A97" s="1">
        <v>45660</v>
      </c>
      <c r="B97">
        <v>144.47</v>
      </c>
      <c r="C97">
        <f t="shared" si="1"/>
        <v>4.3574330904673421E-2</v>
      </c>
    </row>
    <row r="98" spans="1:3" x14ac:dyDescent="0.25">
      <c r="A98" s="1">
        <v>45663</v>
      </c>
      <c r="B98">
        <v>149.43</v>
      </c>
      <c r="C98">
        <f t="shared" si="1"/>
        <v>3.3756182212011883E-2</v>
      </c>
    </row>
    <row r="99" spans="1:3" x14ac:dyDescent="0.25">
      <c r="A99" s="1">
        <v>45664</v>
      </c>
      <c r="B99">
        <v>140.13999999999999</v>
      </c>
      <c r="C99">
        <f t="shared" si="1"/>
        <v>-6.4186132810914065E-2</v>
      </c>
    </row>
    <row r="100" spans="1:3" x14ac:dyDescent="0.25">
      <c r="A100" s="1">
        <v>45665</v>
      </c>
      <c r="B100">
        <v>140.11000000000001</v>
      </c>
      <c r="C100">
        <f t="shared" si="1"/>
        <v>-2.140945592475461E-4</v>
      </c>
    </row>
    <row r="101" spans="1:3" x14ac:dyDescent="0.25">
      <c r="A101" s="1">
        <v>45667</v>
      </c>
      <c r="B101">
        <v>135.91</v>
      </c>
      <c r="C101">
        <f t="shared" si="1"/>
        <v>-3.0434926415884248E-2</v>
      </c>
    </row>
    <row r="102" spans="1:3" x14ac:dyDescent="0.25">
      <c r="A102" s="1">
        <v>45670</v>
      </c>
      <c r="B102">
        <v>133.22999999999999</v>
      </c>
      <c r="C102">
        <f t="shared" si="1"/>
        <v>-1.9915943995135368E-2</v>
      </c>
    </row>
    <row r="103" spans="1:3" x14ac:dyDescent="0.25">
      <c r="A103" s="1">
        <v>45671</v>
      </c>
      <c r="B103">
        <v>131.76</v>
      </c>
      <c r="C103">
        <f t="shared" si="1"/>
        <v>-1.1094872102735659E-2</v>
      </c>
    </row>
    <row r="104" spans="1:3" x14ac:dyDescent="0.25">
      <c r="A104" s="1">
        <v>45672</v>
      </c>
      <c r="B104">
        <v>136.24</v>
      </c>
      <c r="C104">
        <f t="shared" si="1"/>
        <v>3.3435950485048091E-2</v>
      </c>
    </row>
    <row r="105" spans="1:3" x14ac:dyDescent="0.25">
      <c r="A105" s="1">
        <v>45673</v>
      </c>
      <c r="B105">
        <v>133.57</v>
      </c>
      <c r="C105">
        <f t="shared" si="1"/>
        <v>-1.9792351365419E-2</v>
      </c>
    </row>
    <row r="106" spans="1:3" x14ac:dyDescent="0.25">
      <c r="A106" s="1">
        <v>45674</v>
      </c>
      <c r="B106">
        <v>137.71</v>
      </c>
      <c r="C106">
        <f t="shared" si="1"/>
        <v>3.0524339750020613E-2</v>
      </c>
    </row>
    <row r="107" spans="1:3" x14ac:dyDescent="0.25">
      <c r="A107" s="1">
        <v>45678</v>
      </c>
      <c r="B107">
        <v>140.83000000000001</v>
      </c>
      <c r="C107">
        <f t="shared" si="1"/>
        <v>2.2403464470924412E-2</v>
      </c>
    </row>
    <row r="108" spans="1:3" x14ac:dyDescent="0.25">
      <c r="A108" s="1">
        <v>45679</v>
      </c>
      <c r="B108">
        <v>147.07</v>
      </c>
      <c r="C108">
        <f t="shared" si="1"/>
        <v>4.3355174702263348E-2</v>
      </c>
    </row>
    <row r="109" spans="1:3" x14ac:dyDescent="0.25">
      <c r="A109" s="1">
        <v>45680</v>
      </c>
      <c r="B109">
        <v>147.22</v>
      </c>
      <c r="C109">
        <f t="shared" si="1"/>
        <v>1.0194027183375537E-3</v>
      </c>
    </row>
    <row r="110" spans="1:3" x14ac:dyDescent="0.25">
      <c r="A110" s="1">
        <v>45681</v>
      </c>
      <c r="B110">
        <v>142.62</v>
      </c>
      <c r="C110">
        <f t="shared" si="1"/>
        <v>-3.1744316030402252E-2</v>
      </c>
    </row>
    <row r="111" spans="1:3" x14ac:dyDescent="0.25">
      <c r="A111" s="1">
        <v>45684</v>
      </c>
      <c r="B111">
        <v>118.42</v>
      </c>
      <c r="C111">
        <f t="shared" si="1"/>
        <v>-0.18594612349652748</v>
      </c>
    </row>
    <row r="112" spans="1:3" x14ac:dyDescent="0.25">
      <c r="A112" s="1">
        <v>45685</v>
      </c>
      <c r="B112">
        <v>128.99</v>
      </c>
      <c r="C112">
        <f t="shared" si="1"/>
        <v>8.5497254873414752E-2</v>
      </c>
    </row>
    <row r="113" spans="1:3" x14ac:dyDescent="0.25">
      <c r="A113" s="1">
        <v>45686</v>
      </c>
      <c r="B113">
        <v>123.7</v>
      </c>
      <c r="C113">
        <f t="shared" si="1"/>
        <v>-4.1875602578602553E-2</v>
      </c>
    </row>
    <row r="114" spans="1:3" x14ac:dyDescent="0.25">
      <c r="A114" s="1">
        <v>45687</v>
      </c>
      <c r="B114">
        <v>124.65</v>
      </c>
      <c r="C114">
        <f t="shared" si="1"/>
        <v>7.6505305711246667E-3</v>
      </c>
    </row>
    <row r="115" spans="1:3" x14ac:dyDescent="0.25">
      <c r="A115" s="1">
        <v>45688</v>
      </c>
      <c r="B115">
        <v>120.07</v>
      </c>
      <c r="C115">
        <f t="shared" si="1"/>
        <v>-3.743490392694037E-2</v>
      </c>
    </row>
    <row r="116" spans="1:3" x14ac:dyDescent="0.25">
      <c r="A116" s="1">
        <v>45691</v>
      </c>
      <c r="B116">
        <v>116.66</v>
      </c>
      <c r="C116">
        <f t="shared" si="1"/>
        <v>-2.8811184717135074E-2</v>
      </c>
    </row>
    <row r="117" spans="1:3" x14ac:dyDescent="0.25">
      <c r="A117" s="1">
        <v>45692</v>
      </c>
      <c r="B117">
        <v>118.65</v>
      </c>
      <c r="C117">
        <f t="shared" si="1"/>
        <v>1.6914261556281014E-2</v>
      </c>
    </row>
    <row r="118" spans="1:3" x14ac:dyDescent="0.25">
      <c r="A118" s="1">
        <v>45693</v>
      </c>
      <c r="B118">
        <v>124.83</v>
      </c>
      <c r="C118">
        <f t="shared" si="1"/>
        <v>5.0774828781187074E-2</v>
      </c>
    </row>
    <row r="119" spans="1:3" x14ac:dyDescent="0.25">
      <c r="A119" s="1">
        <v>45694</v>
      </c>
      <c r="B119">
        <v>128.68</v>
      </c>
      <c r="C119">
        <f t="shared" si="1"/>
        <v>3.0375890707866154E-2</v>
      </c>
    </row>
    <row r="120" spans="1:3" x14ac:dyDescent="0.25">
      <c r="A120" s="1">
        <v>45695</v>
      </c>
      <c r="B120">
        <v>129.84</v>
      </c>
      <c r="C120">
        <f t="shared" si="1"/>
        <v>8.974220835510088E-3</v>
      </c>
    </row>
    <row r="121" spans="1:3" x14ac:dyDescent="0.25">
      <c r="A121" s="1">
        <v>45698</v>
      </c>
      <c r="B121">
        <v>133.57</v>
      </c>
      <c r="C121">
        <f t="shared" si="1"/>
        <v>2.8322761782678136E-2</v>
      </c>
    </row>
    <row r="122" spans="1:3" x14ac:dyDescent="0.25">
      <c r="A122" s="1">
        <v>45699</v>
      </c>
      <c r="B122">
        <v>132.80000000000001</v>
      </c>
      <c r="C122">
        <f t="shared" si="1"/>
        <v>-5.7814479466803586E-3</v>
      </c>
    </row>
    <row r="123" spans="1:3" x14ac:dyDescent="0.25">
      <c r="A123" s="1">
        <v>45700</v>
      </c>
      <c r="B123">
        <v>131.13999999999999</v>
      </c>
      <c r="C123">
        <f t="shared" si="1"/>
        <v>-1.2578782206860298E-2</v>
      </c>
    </row>
    <row r="124" spans="1:3" x14ac:dyDescent="0.25">
      <c r="A124" s="1">
        <v>45701</v>
      </c>
      <c r="B124">
        <v>135.29</v>
      </c>
      <c r="C124">
        <f t="shared" si="1"/>
        <v>3.1155167779795479E-2</v>
      </c>
    </row>
    <row r="125" spans="1:3" x14ac:dyDescent="0.25">
      <c r="A125" s="1">
        <v>45702</v>
      </c>
      <c r="B125">
        <v>138.85</v>
      </c>
      <c r="C125">
        <f t="shared" si="1"/>
        <v>2.5973591137539755E-2</v>
      </c>
    </row>
    <row r="126" spans="1:3" x14ac:dyDescent="0.25">
      <c r="A126" s="1">
        <v>45706</v>
      </c>
      <c r="B126">
        <v>139.4</v>
      </c>
      <c r="C126">
        <f t="shared" si="1"/>
        <v>3.953284573615142E-3</v>
      </c>
    </row>
    <row r="127" spans="1:3" x14ac:dyDescent="0.25">
      <c r="A127" s="1">
        <v>45707</v>
      </c>
      <c r="B127">
        <v>139.22999999999999</v>
      </c>
      <c r="C127">
        <f t="shared" si="1"/>
        <v>-1.2202564052294857E-3</v>
      </c>
    </row>
    <row r="128" spans="1:3" x14ac:dyDescent="0.25">
      <c r="A128" s="1">
        <v>45708</v>
      </c>
      <c r="B128">
        <v>140.11000000000001</v>
      </c>
      <c r="C128">
        <f>LN(B128/B127)</f>
        <v>6.3005864619461423E-3</v>
      </c>
    </row>
  </sheetData>
  <sortState xmlns:xlrd2="http://schemas.microsoft.com/office/spreadsheetml/2017/richdata2" ref="A3:B1048576">
    <sortCondition ref="A3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C2A40-23DB-40FA-B72A-66CBFFE66BD8}">
  <sheetPr codeName="Sheet4"/>
  <dimension ref="A1:BG128"/>
  <sheetViews>
    <sheetView tabSelected="1" topLeftCell="AO1" zoomScale="115" zoomScaleNormal="115" workbookViewId="0">
      <selection activeCell="AS2" sqref="AS2"/>
    </sheetView>
  </sheetViews>
  <sheetFormatPr defaultRowHeight="15" x14ac:dyDescent="0.25"/>
  <cols>
    <col min="1" max="1" width="9.28515625" bestFit="1" customWidth="1"/>
    <col min="2" max="2" width="11.28515625" bestFit="1" customWidth="1"/>
    <col min="4" max="4" width="12.42578125" bestFit="1" customWidth="1"/>
    <col min="5" max="5" width="13.7109375" bestFit="1" customWidth="1"/>
    <col min="6" max="6" width="8.140625" bestFit="1" customWidth="1"/>
    <col min="7" max="7" width="19.42578125" bestFit="1" customWidth="1"/>
    <col min="8" max="8" width="19.42578125" customWidth="1"/>
    <col min="9" max="9" width="25.28515625" bestFit="1" customWidth="1"/>
    <col min="12" max="12" width="11.28515625" bestFit="1" customWidth="1"/>
    <col min="13" max="13" width="9.42578125" bestFit="1" customWidth="1"/>
    <col min="14" max="14" width="14" bestFit="1" customWidth="1"/>
    <col min="15" max="15" width="13.7109375" bestFit="1" customWidth="1"/>
    <col min="16" max="16" width="6.5703125" bestFit="1" customWidth="1"/>
    <col min="17" max="17" width="19.42578125" bestFit="1" customWidth="1"/>
    <col min="18" max="18" width="19.28515625" bestFit="1" customWidth="1"/>
    <col min="19" max="19" width="25.28515625" bestFit="1" customWidth="1"/>
    <col min="22" max="22" width="10.42578125" bestFit="1" customWidth="1"/>
    <col min="23" max="23" width="9.42578125" bestFit="1" customWidth="1"/>
    <col min="24" max="24" width="12.7109375" bestFit="1" customWidth="1"/>
    <col min="25" max="25" width="13.7109375" bestFit="1" customWidth="1"/>
    <col min="26" max="26" width="7.7109375" bestFit="1" customWidth="1"/>
    <col min="27" max="27" width="19.42578125" bestFit="1" customWidth="1"/>
    <col min="28" max="28" width="19.28515625" bestFit="1" customWidth="1"/>
    <col min="29" max="29" width="25.28515625" bestFit="1" customWidth="1"/>
    <col min="30" max="30" width="10.7109375" customWidth="1"/>
    <col min="32" max="32" width="16.85546875" bestFit="1" customWidth="1"/>
    <col min="33" max="33" width="14.5703125" customWidth="1"/>
    <col min="34" max="34" width="25.85546875" bestFit="1" customWidth="1"/>
    <col min="35" max="35" width="16.42578125" bestFit="1" customWidth="1"/>
    <col min="36" max="36" width="12" customWidth="1"/>
    <col min="37" max="37" width="10.5703125" customWidth="1"/>
    <col min="38" max="38" width="16.85546875" bestFit="1" customWidth="1"/>
    <col min="39" max="39" width="12" bestFit="1" customWidth="1"/>
    <col min="40" max="40" width="30.140625" bestFit="1" customWidth="1"/>
    <col min="41" max="41" width="20.7109375" bestFit="1" customWidth="1"/>
    <col min="42" max="48" width="20.7109375" customWidth="1"/>
    <col min="49" max="49" width="21" bestFit="1" customWidth="1"/>
    <col min="50" max="50" width="15.140625" bestFit="1" customWidth="1"/>
    <col min="51" max="53" width="20.7109375" customWidth="1"/>
    <col min="54" max="54" width="16.42578125" bestFit="1" customWidth="1"/>
    <col min="56" max="56" width="10.85546875" customWidth="1"/>
    <col min="57" max="57" width="15.85546875" customWidth="1"/>
    <col min="58" max="58" width="17.85546875" bestFit="1" customWidth="1"/>
    <col min="59" max="59" width="13.42578125" bestFit="1" customWidth="1"/>
  </cols>
  <sheetData>
    <row r="1" spans="1:59" x14ac:dyDescent="0.25">
      <c r="A1" t="s">
        <v>3</v>
      </c>
      <c r="B1" t="s">
        <v>0</v>
      </c>
      <c r="C1" t="s">
        <v>1</v>
      </c>
      <c r="D1" t="s">
        <v>6</v>
      </c>
      <c r="E1" s="4" t="s">
        <v>5</v>
      </c>
      <c r="F1" t="s">
        <v>2</v>
      </c>
      <c r="G1" t="s">
        <v>7</v>
      </c>
      <c r="H1" t="s">
        <v>15</v>
      </c>
      <c r="I1" t="s">
        <v>20</v>
      </c>
      <c r="K1" t="s">
        <v>4</v>
      </c>
      <c r="L1" t="s">
        <v>0</v>
      </c>
      <c r="M1" t="s">
        <v>1</v>
      </c>
      <c r="N1" t="s">
        <v>6</v>
      </c>
      <c r="O1" s="4" t="s">
        <v>5</v>
      </c>
      <c r="P1" t="s">
        <v>2</v>
      </c>
      <c r="Q1" t="s">
        <v>7</v>
      </c>
      <c r="R1" t="s">
        <v>15</v>
      </c>
      <c r="S1" t="s">
        <v>20</v>
      </c>
      <c r="U1" t="s">
        <v>8</v>
      </c>
      <c r="V1" t="s">
        <v>0</v>
      </c>
      <c r="W1" t="s">
        <v>1</v>
      </c>
      <c r="X1" t="s">
        <v>6</v>
      </c>
      <c r="Y1" s="4" t="s">
        <v>5</v>
      </c>
      <c r="Z1" t="s">
        <v>2</v>
      </c>
      <c r="AA1" t="s">
        <v>7</v>
      </c>
      <c r="AB1" t="s">
        <v>15</v>
      </c>
      <c r="AC1" t="s">
        <v>20</v>
      </c>
      <c r="AE1" t="s">
        <v>37</v>
      </c>
      <c r="AF1" t="s">
        <v>9</v>
      </c>
      <c r="AG1" t="s">
        <v>3</v>
      </c>
      <c r="AH1" t="s">
        <v>4</v>
      </c>
      <c r="AI1" t="s">
        <v>8</v>
      </c>
      <c r="AK1" t="s">
        <v>36</v>
      </c>
      <c r="AL1" t="s">
        <v>9</v>
      </c>
      <c r="AM1" t="s">
        <v>4</v>
      </c>
      <c r="AN1" t="s">
        <v>8</v>
      </c>
      <c r="AO1" t="s">
        <v>23</v>
      </c>
      <c r="AQ1" t="s">
        <v>26</v>
      </c>
      <c r="AR1" t="s">
        <v>31</v>
      </c>
      <c r="AS1" t="s">
        <v>32</v>
      </c>
      <c r="AT1" t="s">
        <v>33</v>
      </c>
      <c r="AU1" t="s">
        <v>34</v>
      </c>
      <c r="AV1" t="s">
        <v>35</v>
      </c>
      <c r="AW1" t="s">
        <v>29</v>
      </c>
      <c r="AX1" t="s">
        <v>30</v>
      </c>
    </row>
    <row r="2" spans="1:59" x14ac:dyDescent="0.25">
      <c r="B2" s="1">
        <v>45523</v>
      </c>
      <c r="C2">
        <v>421.53</v>
      </c>
      <c r="E2">
        <f>_xlfn.STDEV.S(D3:D128)</f>
        <v>1.3930023583071362E-2</v>
      </c>
      <c r="F2" s="3" cm="1">
        <f t="array" ref="F2">CalculateCAGR(C3,C128,1)</f>
        <v>-2.0409604519774027E-2</v>
      </c>
      <c r="G2" cm="1">
        <f t="array" ref="G2">AnnualizedVolatility(D3:D128)</f>
        <v>0.22113226894843033</v>
      </c>
      <c r="H2">
        <f>AVERAGE(D3:D128)</f>
        <v>-1.0232728446864994E-4</v>
      </c>
      <c r="I2" s="3">
        <f>H2*252</f>
        <v>-2.5786475686099784E-2</v>
      </c>
      <c r="L2" s="1">
        <v>45523</v>
      </c>
      <c r="M2">
        <v>225.89</v>
      </c>
      <c r="O2">
        <f>_xlfn.STDEV.S(N3:N128)</f>
        <v>1.3672231948002638E-2</v>
      </c>
      <c r="P2" s="3" cm="1">
        <f t="array" ref="P2">CalculateCAGR(M3,M128,1)</f>
        <v>8.5294247494591913E-2</v>
      </c>
      <c r="Q2" cm="1">
        <f t="array" ref="Q2">AnnualizedVolatility(N3:N128)</f>
        <v>0.21703995360964298</v>
      </c>
      <c r="R2">
        <f>AVERAGE(N3:N128)</f>
        <v>6.7136575406919765E-4</v>
      </c>
      <c r="S2" s="3">
        <f>R2*252</f>
        <v>0.16918417002543781</v>
      </c>
      <c r="V2" s="1">
        <v>45523</v>
      </c>
      <c r="W2">
        <v>130</v>
      </c>
      <c r="Y2" s="4">
        <f>_xlfn.STDEV.S(X3:X128)</f>
        <v>3.3136362283569504E-2</v>
      </c>
      <c r="Z2" s="3" cm="1">
        <f t="array" ref="Z2">CalculateCAGR(W3,W128,1)</f>
        <v>0.10123052352268025</v>
      </c>
      <c r="AA2" cm="1">
        <f t="array" ref="AA2">AnnualizedVolatility(X3:X128)</f>
        <v>0.52602344373399157</v>
      </c>
      <c r="AB2">
        <f>AVERAGE(X3:X128)</f>
        <v>5.9439188831394844E-4</v>
      </c>
      <c r="AC2" s="3">
        <f>AB2*252</f>
        <v>0.149786755855115</v>
      </c>
      <c r="AD2" s="3"/>
      <c r="AF2" t="s">
        <v>3</v>
      </c>
      <c r="AG2">
        <f>_xlfn.COVARIANCE.S(D3:D128,D3:D128)</f>
        <v>1.9404555702492421E-4</v>
      </c>
      <c r="AH2">
        <f>_xlfn.COVARIANCE.S(D3:D128,N3:N128)</f>
        <v>8.4389168346393217E-5</v>
      </c>
      <c r="AI2">
        <f>_xlfn.COVARIANCE.S(D3:D128,X3:X128)</f>
        <v>2.214809225388288E-4</v>
      </c>
      <c r="AL2" t="s">
        <v>4</v>
      </c>
      <c r="AM2">
        <f>AH3</f>
        <v>1.8692992643998404E-4</v>
      </c>
      <c r="AN2">
        <f>AI3</f>
        <v>8.6628109376114663E-5</v>
      </c>
      <c r="AO2" s="3">
        <v>3.9800000000000002E-2</v>
      </c>
      <c r="AP2" s="3"/>
      <c r="AQ2" s="3" t="s">
        <v>27</v>
      </c>
      <c r="AR2">
        <f>(AN15-AO2)/(3*AO15^2)</f>
        <v>0.94911102706921791</v>
      </c>
      <c r="AS2" s="3">
        <f>1-AR2</f>
        <v>5.0888972930782095E-2</v>
      </c>
      <c r="AT2" s="3">
        <f>AR2*AL8</f>
        <v>0.88655810165040694</v>
      </c>
      <c r="AU2" s="3">
        <f>AR2*AM8</f>
        <v>6.2552925418810842E-2</v>
      </c>
      <c r="AV2" s="3">
        <f>AS2+AT2+AU2</f>
        <v>0.99999999999999989</v>
      </c>
      <c r="AW2" s="3">
        <f>AO2+AR2*(AN15-AO2)</f>
        <v>0.16138657749742757</v>
      </c>
      <c r="AX2" s="3">
        <f>AR2*AO15</f>
        <v>0.20131780638038255</v>
      </c>
      <c r="AY2" s="3"/>
      <c r="AZ2" s="3"/>
      <c r="BA2" s="3"/>
      <c r="BG2" s="8"/>
    </row>
    <row r="3" spans="1:59" x14ac:dyDescent="0.25">
      <c r="B3" s="1">
        <v>45524</v>
      </c>
      <c r="C3">
        <v>424.8</v>
      </c>
      <c r="D3">
        <f>LN(C3/C2)</f>
        <v>7.7275206413707194E-3</v>
      </c>
      <c r="L3" s="1">
        <v>45524</v>
      </c>
      <c r="M3">
        <v>226.51</v>
      </c>
      <c r="N3">
        <f>LN(M3/M2)</f>
        <v>2.7409389396927126E-3</v>
      </c>
      <c r="V3" s="1">
        <v>45524</v>
      </c>
      <c r="W3">
        <v>127.2304</v>
      </c>
      <c r="X3">
        <f>LN(W3/W2)</f>
        <v>-2.1534834393316219E-2</v>
      </c>
      <c r="AF3" t="s">
        <v>4</v>
      </c>
      <c r="AG3">
        <f>AH2</f>
        <v>8.4389168346393217E-5</v>
      </c>
      <c r="AH3">
        <f>_xlfn.COVARIANCE.S(N3:N128,N3:N128)</f>
        <v>1.8692992643998404E-4</v>
      </c>
      <c r="AI3">
        <f>_xlfn.COVARIANCE.S(N3:N128,X3:X128)</f>
        <v>8.6628109376114663E-5</v>
      </c>
      <c r="AL3" t="s">
        <v>8</v>
      </c>
      <c r="AM3">
        <f>AN2</f>
        <v>8.6628109376114663E-5</v>
      </c>
      <c r="AN3">
        <f>AI4</f>
        <v>1.0980185053879666E-3</v>
      </c>
      <c r="AQ3" t="s">
        <v>28</v>
      </c>
      <c r="AR3">
        <f>(AN15-AO2)/(10*AO15^2)</f>
        <v>0.28473330812076536</v>
      </c>
      <c r="AS3" s="3">
        <f>1-AR3</f>
        <v>0.71526669187923464</v>
      </c>
      <c r="AT3" s="3">
        <f>AR3*AL8</f>
        <v>0.26596743049512206</v>
      </c>
      <c r="AU3" s="3">
        <f>AR3*AM8</f>
        <v>1.8765877625643253E-2</v>
      </c>
      <c r="AV3" s="3">
        <f>AS3+AT3+AU3</f>
        <v>1</v>
      </c>
      <c r="AW3" s="3">
        <f>AO2+AR3*(AN15-AO2)</f>
        <v>7.6275973249228274E-2</v>
      </c>
      <c r="AX3" s="3">
        <f>AR3*AO15</f>
        <v>6.0395341914114761E-2</v>
      </c>
      <c r="AY3" s="3"/>
      <c r="AZ3" s="3"/>
      <c r="BA3" s="3"/>
      <c r="BG3" s="8"/>
    </row>
    <row r="4" spans="1:59" x14ac:dyDescent="0.25">
      <c r="B4" s="1">
        <v>45525</v>
      </c>
      <c r="C4">
        <v>424.14</v>
      </c>
      <c r="D4">
        <f t="shared" ref="D4:D67" si="0">LN(C4/C3)</f>
        <v>-1.5548805168114723E-3</v>
      </c>
      <c r="L4" s="1">
        <v>45525</v>
      </c>
      <c r="M4">
        <v>226.4</v>
      </c>
      <c r="N4">
        <f t="shared" ref="N4:N67" si="1">LN(M4/M3)</f>
        <v>-4.8574772984859386E-4</v>
      </c>
      <c r="V4" s="1">
        <v>45525</v>
      </c>
      <c r="W4">
        <v>128.4802</v>
      </c>
      <c r="X4">
        <f t="shared" ref="X4:X67" si="2">LN(W4/W3)</f>
        <v>9.7751907974892218E-3</v>
      </c>
      <c r="AF4" t="s">
        <v>8</v>
      </c>
      <c r="AG4">
        <f>AI2</f>
        <v>2.214809225388288E-4</v>
      </c>
      <c r="AH4">
        <f>_xlfn.COVARIANCE.S(N3:N128,X3:X128)</f>
        <v>8.6628109376114663E-5</v>
      </c>
      <c r="AI4">
        <f>_xlfn.COVARIANCE.S(X3:X128,X3:X128)</f>
        <v>1.0980185053879666E-3</v>
      </c>
    </row>
    <row r="5" spans="1:59" x14ac:dyDescent="0.25">
      <c r="B5" s="1">
        <v>45526</v>
      </c>
      <c r="C5">
        <v>415.55</v>
      </c>
      <c r="D5">
        <f>LN(C5/C4)</f>
        <v>-2.0460645411882226E-2</v>
      </c>
      <c r="L5" s="1">
        <v>45526</v>
      </c>
      <c r="M5">
        <v>224.53</v>
      </c>
      <c r="N5">
        <f t="shared" si="1"/>
        <v>-8.2940177849183654E-3</v>
      </c>
      <c r="V5" s="1">
        <v>45526</v>
      </c>
      <c r="W5">
        <v>123.7209</v>
      </c>
      <c r="X5">
        <f t="shared" si="2"/>
        <v>-3.7746584578559901E-2</v>
      </c>
    </row>
    <row r="6" spans="1:59" x14ac:dyDescent="0.25">
      <c r="B6" s="1">
        <v>45527</v>
      </c>
      <c r="C6">
        <v>416.79</v>
      </c>
      <c r="D6">
        <f t="shared" si="0"/>
        <v>2.9795538298447027E-3</v>
      </c>
      <c r="L6" s="1">
        <v>45527</v>
      </c>
      <c r="M6">
        <v>226.84</v>
      </c>
      <c r="N6">
        <f t="shared" si="1"/>
        <v>1.0235594601717834E-2</v>
      </c>
      <c r="V6" s="1">
        <v>45527</v>
      </c>
      <c r="W6">
        <v>129.3501</v>
      </c>
      <c r="X6">
        <f t="shared" si="2"/>
        <v>4.4494459446794289E-2</v>
      </c>
      <c r="AE6" t="s">
        <v>21</v>
      </c>
      <c r="AW6" s="3"/>
      <c r="BD6" s="8"/>
      <c r="BE6" s="8"/>
    </row>
    <row r="7" spans="1:59" x14ac:dyDescent="0.25">
      <c r="B7" s="1">
        <v>45530</v>
      </c>
      <c r="C7">
        <v>413.49</v>
      </c>
      <c r="D7">
        <f t="shared" si="0"/>
        <v>-7.9491674544228709E-3</v>
      </c>
      <c r="L7" s="1">
        <v>45530</v>
      </c>
      <c r="M7">
        <v>227.18</v>
      </c>
      <c r="N7">
        <f t="shared" si="1"/>
        <v>1.497731657448228E-3</v>
      </c>
      <c r="V7" s="1">
        <v>45530</v>
      </c>
      <c r="W7">
        <v>126.4405</v>
      </c>
      <c r="X7">
        <f t="shared" si="2"/>
        <v>-2.2750839943595686E-2</v>
      </c>
      <c r="AF7" t="s">
        <v>10</v>
      </c>
      <c r="AG7" t="s">
        <v>11</v>
      </c>
      <c r="AH7" t="s">
        <v>12</v>
      </c>
      <c r="AI7" t="s">
        <v>13</v>
      </c>
      <c r="AL7" t="s">
        <v>10</v>
      </c>
      <c r="AM7" t="s">
        <v>11</v>
      </c>
      <c r="AN7" t="s">
        <v>13</v>
      </c>
    </row>
    <row r="8" spans="1:59" x14ac:dyDescent="0.25">
      <c r="B8" s="1">
        <v>45531</v>
      </c>
      <c r="C8">
        <v>413.84</v>
      </c>
      <c r="D8">
        <f t="shared" si="0"/>
        <v>8.4609532080240444E-4</v>
      </c>
      <c r="L8" s="1">
        <v>45531</v>
      </c>
      <c r="M8">
        <v>228.03</v>
      </c>
      <c r="N8">
        <f t="shared" si="1"/>
        <v>3.7345444427833042E-3</v>
      </c>
      <c r="V8" s="1">
        <v>45531</v>
      </c>
      <c r="W8">
        <v>128.28020000000001</v>
      </c>
      <c r="X8">
        <f t="shared" si="2"/>
        <v>1.4445092128836552E-2</v>
      </c>
      <c r="AF8" s="3">
        <v>0.48323344424470127</v>
      </c>
      <c r="AG8" s="3">
        <v>0.51676655575529873</v>
      </c>
      <c r="AH8" s="3">
        <v>0</v>
      </c>
      <c r="AI8" s="5">
        <f>SUM(AF8+AG8+AH8)</f>
        <v>1</v>
      </c>
      <c r="AL8" s="3">
        <v>0.93409314228286899</v>
      </c>
      <c r="AM8" s="3">
        <v>6.5906857717130826E-2</v>
      </c>
      <c r="AN8" s="5">
        <f>AL8+AM8</f>
        <v>0.99999999999999978</v>
      </c>
    </row>
    <row r="9" spans="1:59" x14ac:dyDescent="0.25">
      <c r="B9" s="1">
        <v>45532</v>
      </c>
      <c r="C9">
        <v>410.6</v>
      </c>
      <c r="D9">
        <f t="shared" si="0"/>
        <v>-7.8599211104263648E-3</v>
      </c>
      <c r="L9" s="1">
        <v>45532</v>
      </c>
      <c r="M9">
        <v>226.49</v>
      </c>
      <c r="N9">
        <f t="shared" si="1"/>
        <v>-6.7764054079900871E-3</v>
      </c>
      <c r="V9" s="1">
        <v>45532</v>
      </c>
      <c r="W9">
        <v>125.5907</v>
      </c>
      <c r="X9">
        <f t="shared" si="2"/>
        <v>-2.1188727206555187E-2</v>
      </c>
    </row>
    <row r="10" spans="1:59" x14ac:dyDescent="0.25">
      <c r="B10" s="1">
        <v>45533</v>
      </c>
      <c r="C10">
        <v>413.12</v>
      </c>
      <c r="D10">
        <f t="shared" si="0"/>
        <v>6.1186030734444426E-3</v>
      </c>
      <c r="L10" s="1">
        <v>45533</v>
      </c>
      <c r="M10">
        <v>229.79</v>
      </c>
      <c r="N10">
        <f t="shared" si="1"/>
        <v>1.4465054528776243E-2</v>
      </c>
      <c r="V10" s="1">
        <v>45533</v>
      </c>
      <c r="W10">
        <v>117.5719</v>
      </c>
      <c r="X10">
        <f t="shared" si="2"/>
        <v>-6.597814537242308E-2</v>
      </c>
      <c r="AF10" t="s">
        <v>14</v>
      </c>
      <c r="AL10" t="s">
        <v>14</v>
      </c>
    </row>
    <row r="11" spans="1:59" x14ac:dyDescent="0.25">
      <c r="B11" s="1">
        <v>45534</v>
      </c>
      <c r="C11">
        <v>417.14</v>
      </c>
      <c r="D11">
        <f t="shared" si="0"/>
        <v>9.6837892102111817E-3</v>
      </c>
      <c r="L11" s="1">
        <v>45534</v>
      </c>
      <c r="M11">
        <v>229</v>
      </c>
      <c r="N11">
        <f t="shared" si="1"/>
        <v>-3.4438448126052909E-3</v>
      </c>
      <c r="V11" s="1">
        <v>45534</v>
      </c>
      <c r="W11">
        <v>119.3516</v>
      </c>
      <c r="X11">
        <f t="shared" si="2"/>
        <v>1.5023697309617712E-2</v>
      </c>
      <c r="AF11">
        <f>AF8^2*AG2+AG8^2*AH3+AH8^2*AI4+2*AF8*AG8*AH2+2*AF8*AH8*AI2+2*AG8*AH8*AI3</f>
        <v>1.3737880273095542E-4</v>
      </c>
      <c r="AL11">
        <f>AL8^2*AM2+AM8^2*AN3+2*AL8*AM8*AN2</f>
        <v>1.7853764417993876E-4</v>
      </c>
    </row>
    <row r="12" spans="1:59" x14ac:dyDescent="0.25">
      <c r="B12" s="1">
        <v>45538</v>
      </c>
      <c r="C12">
        <v>409.44</v>
      </c>
      <c r="D12">
        <f t="shared" si="0"/>
        <v>-1.8631524457010256E-2</v>
      </c>
      <c r="L12" s="1">
        <v>45538</v>
      </c>
      <c r="M12">
        <v>222.77</v>
      </c>
      <c r="N12">
        <f t="shared" si="1"/>
        <v>-2.7582154477457006E-2</v>
      </c>
      <c r="V12" s="1">
        <v>45538</v>
      </c>
      <c r="W12">
        <v>107.9834</v>
      </c>
      <c r="X12">
        <f t="shared" si="2"/>
        <v>-0.10009624703697881</v>
      </c>
    </row>
    <row r="13" spans="1:59" x14ac:dyDescent="0.25">
      <c r="B13" s="1">
        <v>45539</v>
      </c>
      <c r="C13">
        <v>408.9</v>
      </c>
      <c r="D13">
        <f t="shared" si="0"/>
        <v>-1.3197450408820716E-3</v>
      </c>
      <c r="L13" s="1">
        <v>45539</v>
      </c>
      <c r="M13">
        <v>220.85</v>
      </c>
      <c r="N13">
        <f t="shared" si="1"/>
        <v>-8.6561110342471426E-3</v>
      </c>
      <c r="V13" s="1">
        <v>45539</v>
      </c>
      <c r="W13">
        <v>106.1936</v>
      </c>
      <c r="X13">
        <f t="shared" si="2"/>
        <v>-1.6713668268463631E-2</v>
      </c>
    </row>
    <row r="14" spans="1:59" x14ac:dyDescent="0.25">
      <c r="B14" s="1">
        <v>45540</v>
      </c>
      <c r="C14">
        <v>408.39</v>
      </c>
      <c r="D14">
        <f t="shared" si="0"/>
        <v>-1.2480271781052238E-3</v>
      </c>
      <c r="L14" s="1">
        <v>45540</v>
      </c>
      <c r="M14">
        <v>222.38</v>
      </c>
      <c r="N14">
        <f t="shared" si="1"/>
        <v>6.9038922325676197E-3</v>
      </c>
      <c r="V14" s="1">
        <v>45540</v>
      </c>
      <c r="W14">
        <v>107.1935</v>
      </c>
      <c r="X14">
        <f t="shared" si="2"/>
        <v>9.3717691315806789E-3</v>
      </c>
      <c r="AF14" t="s">
        <v>17</v>
      </c>
      <c r="AG14" t="s">
        <v>16</v>
      </c>
      <c r="AH14" t="s">
        <v>18</v>
      </c>
      <c r="AI14" t="s">
        <v>19</v>
      </c>
      <c r="AL14" t="s">
        <v>17</v>
      </c>
      <c r="AM14" t="s">
        <v>16</v>
      </c>
      <c r="AN14" t="s">
        <v>24</v>
      </c>
      <c r="AO14" t="s">
        <v>25</v>
      </c>
    </row>
    <row r="15" spans="1:59" x14ac:dyDescent="0.25">
      <c r="B15" s="1">
        <v>45541</v>
      </c>
      <c r="C15">
        <v>401.7</v>
      </c>
      <c r="D15">
        <f t="shared" si="0"/>
        <v>-1.6517058827254908E-2</v>
      </c>
      <c r="L15" s="1">
        <v>45541</v>
      </c>
      <c r="M15">
        <v>220.82</v>
      </c>
      <c r="N15">
        <f t="shared" si="1"/>
        <v>-7.0397402641122122E-3</v>
      </c>
      <c r="V15" s="1">
        <v>45541</v>
      </c>
      <c r="W15">
        <v>102.8142</v>
      </c>
      <c r="X15">
        <f t="shared" si="2"/>
        <v>-4.1712136692610743E-2</v>
      </c>
      <c r="AF15" s="6">
        <f>AF8*H2+AG8*R2+AH8*AB2</f>
        <v>2.9749140226840515E-4</v>
      </c>
      <c r="AG15" s="6">
        <f>SQRT(AF11)</f>
        <v>1.1720870391355559E-2</v>
      </c>
      <c r="AH15" s="3">
        <f>AF15*252</f>
        <v>7.4967833371638093E-2</v>
      </c>
      <c r="AI15" s="3">
        <f>AG15*SQRT(252)</f>
        <v>0.18606304922848266</v>
      </c>
      <c r="AL15">
        <f>AL8*R2+AM8*AB2</f>
        <v>6.6629264845092877E-4</v>
      </c>
      <c r="AM15">
        <f>SQRT(AL11)</f>
        <v>1.3361797939646399E-2</v>
      </c>
      <c r="AN15">
        <f>AL15*252</f>
        <v>0.16790574740963404</v>
      </c>
      <c r="AO15">
        <f>AM15*SQRT(252)</f>
        <v>0.21211196650199765</v>
      </c>
    </row>
    <row r="16" spans="1:59" x14ac:dyDescent="0.25">
      <c r="B16" s="1">
        <v>45544</v>
      </c>
      <c r="C16">
        <v>405.72</v>
      </c>
      <c r="D16">
        <f t="shared" si="0"/>
        <v>9.9577251425585992E-3</v>
      </c>
      <c r="L16" s="1">
        <v>45544</v>
      </c>
      <c r="M16">
        <v>220.91</v>
      </c>
      <c r="N16">
        <f t="shared" si="1"/>
        <v>4.0748874310253498E-4</v>
      </c>
      <c r="V16" s="1">
        <v>45544</v>
      </c>
      <c r="W16">
        <v>106.45359999999999</v>
      </c>
      <c r="X16">
        <f t="shared" si="2"/>
        <v>3.4785733684474469E-2</v>
      </c>
      <c r="BB16" s="5"/>
      <c r="BC16" s="9"/>
      <c r="BD16" s="9"/>
      <c r="BE16" s="7"/>
    </row>
    <row r="17" spans="2:59" x14ac:dyDescent="0.25">
      <c r="B17" s="1">
        <v>45545</v>
      </c>
      <c r="C17">
        <v>414.2</v>
      </c>
      <c r="D17">
        <f t="shared" si="0"/>
        <v>2.0685682453688709E-2</v>
      </c>
      <c r="L17" s="1">
        <v>45545</v>
      </c>
      <c r="M17">
        <v>220.11</v>
      </c>
      <c r="N17">
        <f t="shared" si="1"/>
        <v>-3.6279573600808664E-3</v>
      </c>
      <c r="V17" s="1">
        <v>45545</v>
      </c>
      <c r="W17">
        <v>108.0834</v>
      </c>
      <c r="X17">
        <f t="shared" si="2"/>
        <v>1.5193941874399897E-2</v>
      </c>
      <c r="AL17" t="s">
        <v>22</v>
      </c>
      <c r="BE17" s="7"/>
    </row>
    <row r="18" spans="2:59" x14ac:dyDescent="0.25">
      <c r="B18" s="1">
        <v>45546</v>
      </c>
      <c r="C18">
        <v>423.04</v>
      </c>
      <c r="D18">
        <f t="shared" si="0"/>
        <v>2.1117788261783055E-2</v>
      </c>
      <c r="L18" s="1">
        <v>45546</v>
      </c>
      <c r="M18">
        <v>222.66</v>
      </c>
      <c r="N18">
        <f t="shared" si="1"/>
        <v>1.1518522906548473E-2</v>
      </c>
      <c r="V18" s="1">
        <v>45546</v>
      </c>
      <c r="W18">
        <v>116.892</v>
      </c>
      <c r="X18">
        <f t="shared" si="2"/>
        <v>7.834728024054706E-2</v>
      </c>
      <c r="AL18">
        <f>(AN15-AO2)/AO15</f>
        <v>0.60395341914114753</v>
      </c>
    </row>
    <row r="19" spans="2:59" x14ac:dyDescent="0.25">
      <c r="B19" s="1">
        <v>45547</v>
      </c>
      <c r="C19">
        <v>427</v>
      </c>
      <c r="D19">
        <f t="shared" si="0"/>
        <v>9.317276005357816E-3</v>
      </c>
      <c r="L19" s="1">
        <v>45547</v>
      </c>
      <c r="M19">
        <v>222.77</v>
      </c>
      <c r="N19">
        <f t="shared" si="1"/>
        <v>4.9390477622147076E-4</v>
      </c>
      <c r="V19" s="1">
        <v>45547</v>
      </c>
      <c r="W19">
        <v>119.1318</v>
      </c>
      <c r="X19">
        <f t="shared" si="2"/>
        <v>1.8980011664498215E-2</v>
      </c>
      <c r="BG19" s="3"/>
    </row>
    <row r="20" spans="2:59" x14ac:dyDescent="0.25">
      <c r="B20" s="1">
        <v>45548</v>
      </c>
      <c r="C20">
        <v>430.59</v>
      </c>
      <c r="D20">
        <f t="shared" si="0"/>
        <v>8.3723480227740621E-3</v>
      </c>
      <c r="L20" s="1">
        <v>45548</v>
      </c>
      <c r="M20">
        <v>222.5</v>
      </c>
      <c r="N20">
        <f t="shared" si="1"/>
        <v>-1.2127474704876769E-3</v>
      </c>
      <c r="V20" s="1">
        <v>45548</v>
      </c>
      <c r="W20">
        <v>119.09180000000001</v>
      </c>
      <c r="X20">
        <f t="shared" si="2"/>
        <v>-3.3581895644176502E-4</v>
      </c>
      <c r="BG20" s="3"/>
    </row>
    <row r="21" spans="2:59" x14ac:dyDescent="0.25">
      <c r="B21" s="1">
        <v>45551</v>
      </c>
      <c r="C21">
        <v>431.34</v>
      </c>
      <c r="D21">
        <f t="shared" si="0"/>
        <v>1.7402809724365456E-3</v>
      </c>
      <c r="L21" s="1">
        <v>45551</v>
      </c>
      <c r="M21">
        <v>216.32</v>
      </c>
      <c r="N21">
        <f t="shared" si="1"/>
        <v>-2.8168308751695719E-2</v>
      </c>
      <c r="V21" s="1">
        <v>45551</v>
      </c>
      <c r="W21">
        <v>116.7719</v>
      </c>
      <c r="X21">
        <f t="shared" si="2"/>
        <v>-1.9672165027067482E-2</v>
      </c>
    </row>
    <row r="22" spans="2:59" x14ac:dyDescent="0.25">
      <c r="B22" s="1">
        <v>45552</v>
      </c>
      <c r="C22">
        <v>435.15</v>
      </c>
      <c r="D22">
        <f t="shared" si="0"/>
        <v>8.7941570116875194E-3</v>
      </c>
      <c r="L22" s="1">
        <v>45552</v>
      </c>
      <c r="M22">
        <v>216.79</v>
      </c>
      <c r="N22">
        <f t="shared" si="1"/>
        <v>2.1703501858254429E-3</v>
      </c>
      <c r="V22" s="1">
        <v>45552</v>
      </c>
      <c r="W22">
        <v>115.58199999999999</v>
      </c>
      <c r="X22">
        <f t="shared" si="2"/>
        <v>-1.0242224486049672E-2</v>
      </c>
      <c r="BE22" s="3"/>
    </row>
    <row r="23" spans="2:59" x14ac:dyDescent="0.25">
      <c r="B23" s="1">
        <v>45553</v>
      </c>
      <c r="C23">
        <v>430.81</v>
      </c>
      <c r="D23">
        <f t="shared" si="0"/>
        <v>-1.0023641595028616E-2</v>
      </c>
      <c r="L23" s="1">
        <v>45553</v>
      </c>
      <c r="M23">
        <v>220.69</v>
      </c>
      <c r="N23">
        <f t="shared" si="1"/>
        <v>1.7829858819643829E-2</v>
      </c>
      <c r="V23" s="1">
        <v>45553</v>
      </c>
      <c r="W23">
        <v>113.3622</v>
      </c>
      <c r="X23">
        <f t="shared" si="2"/>
        <v>-1.9392232379344239E-2</v>
      </c>
      <c r="BC23" s="8"/>
      <c r="BD23" s="8"/>
      <c r="BE23" s="3"/>
    </row>
    <row r="24" spans="2:59" x14ac:dyDescent="0.25">
      <c r="B24" s="1">
        <v>45554</v>
      </c>
      <c r="C24">
        <v>438.69</v>
      </c>
      <c r="D24">
        <f t="shared" si="0"/>
        <v>1.8125855651403351E-2</v>
      </c>
      <c r="L24" s="1">
        <v>45554</v>
      </c>
      <c r="M24">
        <v>228.87</v>
      </c>
      <c r="N24">
        <f t="shared" si="1"/>
        <v>3.6395154910179209E-2</v>
      </c>
      <c r="V24" s="1">
        <v>45554</v>
      </c>
      <c r="W24">
        <v>117.86190000000001</v>
      </c>
      <c r="X24">
        <f t="shared" si="2"/>
        <v>3.8925597708727715E-2</v>
      </c>
      <c r="BC24" s="8"/>
      <c r="BD24" s="8"/>
    </row>
    <row r="25" spans="2:59" x14ac:dyDescent="0.25">
      <c r="B25" s="1">
        <v>45555</v>
      </c>
      <c r="C25">
        <v>435.27</v>
      </c>
      <c r="D25">
        <f t="shared" si="0"/>
        <v>-7.8264850961940139E-3</v>
      </c>
      <c r="L25" s="1">
        <v>45555</v>
      </c>
      <c r="M25">
        <v>228.2</v>
      </c>
      <c r="N25">
        <f t="shared" si="1"/>
        <v>-2.9317193422724623E-3</v>
      </c>
      <c r="V25" s="1">
        <v>45555</v>
      </c>
      <c r="W25">
        <v>115.992</v>
      </c>
      <c r="X25">
        <f t="shared" si="2"/>
        <v>-1.5992376890249047E-2</v>
      </c>
    </row>
    <row r="26" spans="2:59" x14ac:dyDescent="0.25">
      <c r="B26" s="1">
        <v>45558</v>
      </c>
      <c r="C26">
        <v>433.51</v>
      </c>
      <c r="D26">
        <f t="shared" si="0"/>
        <v>-4.051664190420563E-3</v>
      </c>
      <c r="L26" s="1">
        <v>45558</v>
      </c>
      <c r="M26">
        <v>226.47</v>
      </c>
      <c r="N26">
        <f t="shared" si="1"/>
        <v>-7.6099516083320351E-3</v>
      </c>
      <c r="V26" s="1">
        <v>45558</v>
      </c>
      <c r="W26">
        <v>116.252</v>
      </c>
      <c r="X26">
        <f t="shared" si="2"/>
        <v>2.2390254096559359E-3</v>
      </c>
    </row>
    <row r="27" spans="2:59" x14ac:dyDescent="0.25">
      <c r="B27" s="1">
        <v>45559</v>
      </c>
      <c r="C27">
        <v>429.17</v>
      </c>
      <c r="D27">
        <f t="shared" si="0"/>
        <v>-1.0061753175372987E-2</v>
      </c>
      <c r="L27" s="1">
        <v>45559</v>
      </c>
      <c r="M27">
        <v>227.37</v>
      </c>
      <c r="N27">
        <f t="shared" si="1"/>
        <v>3.9661606724042875E-3</v>
      </c>
      <c r="V27" s="1">
        <v>45559</v>
      </c>
      <c r="W27">
        <v>120.8617</v>
      </c>
      <c r="X27">
        <f t="shared" si="2"/>
        <v>3.8886668075267763E-2</v>
      </c>
    </row>
    <row r="28" spans="2:59" x14ac:dyDescent="0.25">
      <c r="B28" s="1">
        <v>45560</v>
      </c>
      <c r="C28">
        <v>432.11</v>
      </c>
      <c r="D28">
        <f t="shared" si="0"/>
        <v>6.8270746312079078E-3</v>
      </c>
      <c r="L28" s="1">
        <v>45560</v>
      </c>
      <c r="M28">
        <v>226.37</v>
      </c>
      <c r="N28">
        <f t="shared" si="1"/>
        <v>-4.407817777012997E-3</v>
      </c>
      <c r="V28" s="1">
        <v>45560</v>
      </c>
      <c r="W28">
        <v>123.50149999999999</v>
      </c>
      <c r="X28">
        <f t="shared" si="2"/>
        <v>2.160638504744428E-2</v>
      </c>
    </row>
    <row r="29" spans="2:59" x14ac:dyDescent="0.25">
      <c r="B29" s="1">
        <v>45561</v>
      </c>
      <c r="C29">
        <v>431.31</v>
      </c>
      <c r="D29">
        <f t="shared" si="0"/>
        <v>-1.8530963585069932E-3</v>
      </c>
      <c r="L29" s="1">
        <v>45561</v>
      </c>
      <c r="M29">
        <v>227.52</v>
      </c>
      <c r="N29">
        <f t="shared" si="1"/>
        <v>5.0673178998415468E-3</v>
      </c>
      <c r="V29" s="1">
        <v>45561</v>
      </c>
      <c r="W29">
        <v>124.0314</v>
      </c>
      <c r="X29">
        <f t="shared" si="2"/>
        <v>4.2814576119847569E-3</v>
      </c>
    </row>
    <row r="30" spans="2:59" x14ac:dyDescent="0.25">
      <c r="B30" s="1">
        <v>45562</v>
      </c>
      <c r="C30">
        <v>428.02</v>
      </c>
      <c r="D30">
        <f t="shared" si="0"/>
        <v>-7.6571656406158482E-3</v>
      </c>
      <c r="L30" s="1">
        <v>45562</v>
      </c>
      <c r="M30">
        <v>227.79</v>
      </c>
      <c r="N30">
        <f t="shared" si="1"/>
        <v>1.1860052783758518E-3</v>
      </c>
      <c r="V30" s="1">
        <v>45562</v>
      </c>
      <c r="W30">
        <v>121.3916</v>
      </c>
      <c r="X30">
        <f t="shared" si="2"/>
        <v>-2.1513075875012048E-2</v>
      </c>
    </row>
    <row r="31" spans="2:59" x14ac:dyDescent="0.25">
      <c r="B31" s="1">
        <v>45565</v>
      </c>
      <c r="C31">
        <v>430.3</v>
      </c>
      <c r="D31">
        <f t="shared" si="0"/>
        <v>5.3127163825590863E-3</v>
      </c>
      <c r="L31" s="1">
        <v>45565</v>
      </c>
      <c r="M31">
        <v>233</v>
      </c>
      <c r="N31">
        <f t="shared" si="1"/>
        <v>2.2614301672448562E-2</v>
      </c>
      <c r="V31" s="1">
        <v>45565</v>
      </c>
      <c r="W31">
        <v>121.4316</v>
      </c>
      <c r="X31">
        <f t="shared" si="2"/>
        <v>3.2945781425995434E-4</v>
      </c>
    </row>
    <row r="32" spans="2:59" x14ac:dyDescent="0.25">
      <c r="B32" s="1">
        <v>45566</v>
      </c>
      <c r="C32">
        <v>420.69</v>
      </c>
      <c r="D32">
        <f t="shared" si="0"/>
        <v>-2.2586419437884826E-2</v>
      </c>
      <c r="L32" s="1">
        <v>45566</v>
      </c>
      <c r="M32">
        <v>226.21</v>
      </c>
      <c r="N32">
        <f t="shared" si="1"/>
        <v>-2.9574682195956357E-2</v>
      </c>
      <c r="V32" s="1">
        <v>45566</v>
      </c>
      <c r="W32">
        <v>116.9919</v>
      </c>
      <c r="X32">
        <f t="shared" si="2"/>
        <v>-3.7246439662528469E-2</v>
      </c>
    </row>
    <row r="33" spans="2:24" x14ac:dyDescent="0.25">
      <c r="B33" s="1">
        <v>45567</v>
      </c>
      <c r="C33">
        <v>417.13</v>
      </c>
      <c r="D33">
        <f t="shared" si="0"/>
        <v>-8.4982965924682314E-3</v>
      </c>
      <c r="L33" s="1">
        <v>45567</v>
      </c>
      <c r="M33">
        <v>226.78</v>
      </c>
      <c r="N33">
        <f t="shared" si="1"/>
        <v>2.5166131739495158E-3</v>
      </c>
      <c r="V33" s="1">
        <v>45567</v>
      </c>
      <c r="W33">
        <v>118.84180000000001</v>
      </c>
      <c r="X33">
        <f t="shared" si="2"/>
        <v>1.568849526308444E-2</v>
      </c>
    </row>
    <row r="34" spans="2:24" x14ac:dyDescent="0.25">
      <c r="B34" s="1">
        <v>45568</v>
      </c>
      <c r="C34">
        <v>416.54</v>
      </c>
      <c r="D34">
        <f t="shared" si="0"/>
        <v>-1.415428403330617E-3</v>
      </c>
      <c r="L34" s="1">
        <v>45568</v>
      </c>
      <c r="M34">
        <v>225.67</v>
      </c>
      <c r="N34">
        <f t="shared" si="1"/>
        <v>-4.9066293598749146E-3</v>
      </c>
      <c r="V34" s="1">
        <v>45568</v>
      </c>
      <c r="W34">
        <v>122.8415</v>
      </c>
      <c r="X34">
        <f t="shared" si="2"/>
        <v>3.3101709609205304E-2</v>
      </c>
    </row>
    <row r="35" spans="2:24" x14ac:dyDescent="0.25">
      <c r="B35" s="1">
        <v>45569</v>
      </c>
      <c r="C35">
        <v>416.06</v>
      </c>
      <c r="D35">
        <f t="shared" si="0"/>
        <v>-1.1530147806335601E-3</v>
      </c>
      <c r="L35" s="1">
        <v>45569</v>
      </c>
      <c r="M35">
        <v>226.8</v>
      </c>
      <c r="N35">
        <f t="shared" si="1"/>
        <v>4.9948166697781288E-3</v>
      </c>
      <c r="V35" s="1">
        <v>45569</v>
      </c>
      <c r="W35">
        <v>124.9114</v>
      </c>
      <c r="X35">
        <f t="shared" si="2"/>
        <v>1.6709779480563423E-2</v>
      </c>
    </row>
    <row r="36" spans="2:24" x14ac:dyDescent="0.25">
      <c r="B36" s="1">
        <v>45572</v>
      </c>
      <c r="C36">
        <v>409.54</v>
      </c>
      <c r="D36">
        <f t="shared" si="0"/>
        <v>-1.5794902009822458E-2</v>
      </c>
      <c r="L36" s="1">
        <v>45572</v>
      </c>
      <c r="M36">
        <v>221.69</v>
      </c>
      <c r="N36">
        <f t="shared" si="1"/>
        <v>-2.2788562247735331E-2</v>
      </c>
      <c r="V36" s="1">
        <v>45572</v>
      </c>
      <c r="W36">
        <v>127.71120000000001</v>
      </c>
      <c r="X36">
        <f t="shared" si="2"/>
        <v>2.2166778767673638E-2</v>
      </c>
    </row>
    <row r="37" spans="2:24" x14ac:dyDescent="0.25">
      <c r="B37" s="1">
        <v>45573</v>
      </c>
      <c r="C37">
        <v>414.71</v>
      </c>
      <c r="D37">
        <f t="shared" si="0"/>
        <v>1.2544902158405345E-2</v>
      </c>
      <c r="L37" s="1">
        <v>45573</v>
      </c>
      <c r="M37">
        <v>225.77</v>
      </c>
      <c r="N37">
        <f t="shared" si="1"/>
        <v>1.8236772344019592E-2</v>
      </c>
      <c r="V37" s="1">
        <v>45573</v>
      </c>
      <c r="W37">
        <v>132.88079999999999</v>
      </c>
      <c r="X37">
        <f t="shared" si="2"/>
        <v>3.9681021004021183E-2</v>
      </c>
    </row>
    <row r="38" spans="2:24" x14ac:dyDescent="0.25">
      <c r="B38" s="1">
        <v>45574</v>
      </c>
      <c r="C38">
        <v>417.46</v>
      </c>
      <c r="D38">
        <f t="shared" si="0"/>
        <v>6.6092505389408794E-3</v>
      </c>
      <c r="L38" s="1">
        <v>45574</v>
      </c>
      <c r="M38">
        <v>229.54</v>
      </c>
      <c r="N38">
        <f t="shared" si="1"/>
        <v>1.6560524302640989E-2</v>
      </c>
      <c r="V38" s="1">
        <v>45574</v>
      </c>
      <c r="W38">
        <v>132.64089999999999</v>
      </c>
      <c r="X38">
        <f t="shared" si="2"/>
        <v>-1.8070091090742143E-3</v>
      </c>
    </row>
    <row r="39" spans="2:24" x14ac:dyDescent="0.25">
      <c r="B39" s="1">
        <v>45575</v>
      </c>
      <c r="C39">
        <v>415.84</v>
      </c>
      <c r="D39">
        <f t="shared" si="0"/>
        <v>-3.8881604245801747E-3</v>
      </c>
      <c r="L39" s="1">
        <v>45575</v>
      </c>
      <c r="M39">
        <v>229.04</v>
      </c>
      <c r="N39">
        <f t="shared" si="1"/>
        <v>-2.1806454626626935E-3</v>
      </c>
      <c r="V39" s="1">
        <v>45575</v>
      </c>
      <c r="W39">
        <v>134.80070000000001</v>
      </c>
      <c r="X39">
        <f t="shared" si="2"/>
        <v>1.6151914695623128E-2</v>
      </c>
    </row>
    <row r="40" spans="2:24" x14ac:dyDescent="0.25">
      <c r="B40" s="1">
        <v>45576</v>
      </c>
      <c r="C40">
        <v>416.32</v>
      </c>
      <c r="D40">
        <f t="shared" si="0"/>
        <v>1.1536244309604711E-3</v>
      </c>
      <c r="L40" s="1">
        <v>45576</v>
      </c>
      <c r="M40">
        <v>227.55</v>
      </c>
      <c r="N40">
        <f t="shared" si="1"/>
        <v>-6.5266663272085766E-3</v>
      </c>
      <c r="V40" s="1">
        <v>45576</v>
      </c>
      <c r="W40">
        <v>134.79069999999999</v>
      </c>
      <c r="X40">
        <f t="shared" si="2"/>
        <v>-7.418634277362815E-5</v>
      </c>
    </row>
    <row r="41" spans="2:24" x14ac:dyDescent="0.25">
      <c r="B41" s="1">
        <v>45579</v>
      </c>
      <c r="C41">
        <v>419.14</v>
      </c>
      <c r="D41">
        <f t="shared" si="0"/>
        <v>6.7507976676563454E-3</v>
      </c>
      <c r="L41" s="1">
        <v>45579</v>
      </c>
      <c r="M41">
        <v>231.3</v>
      </c>
      <c r="N41">
        <f t="shared" si="1"/>
        <v>1.6345574774742577E-2</v>
      </c>
      <c r="V41" s="1">
        <v>45579</v>
      </c>
      <c r="W41">
        <v>138.06049999999999</v>
      </c>
      <c r="X41">
        <f t="shared" si="2"/>
        <v>2.3968789882273963E-2</v>
      </c>
    </row>
    <row r="42" spans="2:24" x14ac:dyDescent="0.25">
      <c r="B42" s="1">
        <v>45580</v>
      </c>
      <c r="C42">
        <v>418.74</v>
      </c>
      <c r="D42">
        <f t="shared" si="0"/>
        <v>-9.5479073468157682E-4</v>
      </c>
      <c r="L42" s="1">
        <v>45580</v>
      </c>
      <c r="M42">
        <v>233.85</v>
      </c>
      <c r="N42">
        <f t="shared" si="1"/>
        <v>1.0964314934501682E-2</v>
      </c>
      <c r="V42" s="1">
        <v>45580</v>
      </c>
      <c r="W42">
        <v>131.5909</v>
      </c>
      <c r="X42">
        <f t="shared" si="2"/>
        <v>-4.7994127318413717E-2</v>
      </c>
    </row>
    <row r="43" spans="2:24" x14ac:dyDescent="0.25">
      <c r="B43" s="1">
        <v>45581</v>
      </c>
      <c r="C43">
        <v>416.12</v>
      </c>
      <c r="D43">
        <f t="shared" si="0"/>
        <v>-6.2765220544207835E-3</v>
      </c>
      <c r="L43" s="1">
        <v>45581</v>
      </c>
      <c r="M43">
        <v>231.78</v>
      </c>
      <c r="N43">
        <f t="shared" si="1"/>
        <v>-8.8912382656501972E-3</v>
      </c>
      <c r="V43" s="1">
        <v>45581</v>
      </c>
      <c r="W43">
        <v>135.7106</v>
      </c>
      <c r="X43">
        <f t="shared" si="2"/>
        <v>3.0826809711605344E-2</v>
      </c>
    </row>
    <row r="44" spans="2:24" x14ac:dyDescent="0.25">
      <c r="B44" s="1">
        <v>45582</v>
      </c>
      <c r="C44">
        <v>416.72</v>
      </c>
      <c r="D44">
        <f t="shared" si="0"/>
        <v>1.4408532342417256E-3</v>
      </c>
      <c r="L44" s="1">
        <v>45582</v>
      </c>
      <c r="M44">
        <v>232.15</v>
      </c>
      <c r="N44">
        <f t="shared" si="1"/>
        <v>1.5950685596858294E-3</v>
      </c>
      <c r="V44" s="1">
        <v>45582</v>
      </c>
      <c r="W44">
        <v>136.9205</v>
      </c>
      <c r="X44">
        <f t="shared" si="2"/>
        <v>8.8757881470182039E-3</v>
      </c>
    </row>
    <row r="45" spans="2:24" x14ac:dyDescent="0.25">
      <c r="B45" s="1">
        <v>45583</v>
      </c>
      <c r="C45">
        <v>418.16</v>
      </c>
      <c r="D45">
        <f t="shared" si="0"/>
        <v>3.4496009677303843E-3</v>
      </c>
      <c r="L45" s="1">
        <v>45583</v>
      </c>
      <c r="M45">
        <v>235</v>
      </c>
      <c r="N45">
        <f t="shared" si="1"/>
        <v>1.2201799678228265E-2</v>
      </c>
      <c r="V45" s="1">
        <v>45583</v>
      </c>
      <c r="W45">
        <v>137.9905</v>
      </c>
      <c r="X45">
        <f t="shared" si="2"/>
        <v>7.7843767851006745E-3</v>
      </c>
    </row>
    <row r="46" spans="2:24" x14ac:dyDescent="0.25">
      <c r="B46" s="1">
        <v>45586</v>
      </c>
      <c r="C46">
        <v>418.78</v>
      </c>
      <c r="D46">
        <f t="shared" si="0"/>
        <v>1.4815879595039864E-3</v>
      </c>
      <c r="L46" s="1">
        <v>45586</v>
      </c>
      <c r="M46">
        <v>236.48</v>
      </c>
      <c r="N46">
        <f t="shared" si="1"/>
        <v>6.278123615677908E-3</v>
      </c>
      <c r="V46" s="1">
        <v>45586</v>
      </c>
      <c r="W46">
        <v>143.70009999999999</v>
      </c>
      <c r="X46">
        <f t="shared" si="2"/>
        <v>4.054364677108812E-2</v>
      </c>
    </row>
    <row r="47" spans="2:24" x14ac:dyDescent="0.25">
      <c r="B47" s="1">
        <v>45587</v>
      </c>
      <c r="C47">
        <v>427.51</v>
      </c>
      <c r="D47">
        <f t="shared" si="0"/>
        <v>2.0631957551925872E-2</v>
      </c>
      <c r="L47" s="1">
        <v>45587</v>
      </c>
      <c r="M47">
        <v>235.86</v>
      </c>
      <c r="N47">
        <f t="shared" si="1"/>
        <v>-2.625229098012868E-3</v>
      </c>
      <c r="V47" s="1">
        <v>45587</v>
      </c>
      <c r="W47">
        <v>143.58009999999999</v>
      </c>
      <c r="X47">
        <f t="shared" si="2"/>
        <v>-8.3542135503455572E-4</v>
      </c>
    </row>
    <row r="48" spans="2:24" x14ac:dyDescent="0.25">
      <c r="B48" s="1">
        <v>45588</v>
      </c>
      <c r="C48">
        <v>424.6</v>
      </c>
      <c r="D48">
        <f t="shared" si="0"/>
        <v>-6.8301306469403964E-3</v>
      </c>
      <c r="L48" s="1">
        <v>45588</v>
      </c>
      <c r="M48">
        <v>230.76</v>
      </c>
      <c r="N48">
        <f t="shared" si="1"/>
        <v>-2.1860199273135369E-2</v>
      </c>
      <c r="V48" s="1">
        <v>45588</v>
      </c>
      <c r="W48">
        <v>139.5504</v>
      </c>
      <c r="X48">
        <f t="shared" si="2"/>
        <v>-2.8467241289558742E-2</v>
      </c>
    </row>
    <row r="49" spans="2:24" x14ac:dyDescent="0.25">
      <c r="B49" s="1">
        <v>45589</v>
      </c>
      <c r="C49">
        <v>424.73</v>
      </c>
      <c r="D49">
        <f t="shared" si="0"/>
        <v>3.0612365279741416E-4</v>
      </c>
      <c r="L49" s="1">
        <v>45589</v>
      </c>
      <c r="M49">
        <v>230.57</v>
      </c>
      <c r="N49">
        <f t="shared" si="1"/>
        <v>-8.2370542016678883E-4</v>
      </c>
      <c r="V49" s="1">
        <v>45589</v>
      </c>
      <c r="W49">
        <v>140.40029999999999</v>
      </c>
      <c r="X49">
        <f t="shared" si="2"/>
        <v>6.0718020071965431E-3</v>
      </c>
    </row>
    <row r="50" spans="2:24" x14ac:dyDescent="0.25">
      <c r="B50" s="1">
        <v>45590</v>
      </c>
      <c r="C50">
        <v>428.15</v>
      </c>
      <c r="D50">
        <f t="shared" si="0"/>
        <v>8.0199285502477527E-3</v>
      </c>
      <c r="L50" s="1">
        <v>45590</v>
      </c>
      <c r="M50">
        <v>231.41</v>
      </c>
      <c r="N50">
        <f t="shared" si="1"/>
        <v>3.6365250690583951E-3</v>
      </c>
      <c r="V50" s="1">
        <v>45590</v>
      </c>
      <c r="W50">
        <v>141.53020000000001</v>
      </c>
      <c r="X50">
        <f t="shared" si="2"/>
        <v>8.0154935311432182E-3</v>
      </c>
    </row>
    <row r="51" spans="2:24" x14ac:dyDescent="0.25">
      <c r="B51" s="1">
        <v>45593</v>
      </c>
      <c r="C51">
        <v>426.59</v>
      </c>
      <c r="D51">
        <f t="shared" si="0"/>
        <v>-3.6502368723809321E-3</v>
      </c>
      <c r="L51" s="1">
        <v>45593</v>
      </c>
      <c r="M51">
        <v>233.4</v>
      </c>
      <c r="N51">
        <f t="shared" si="1"/>
        <v>8.5626908148752033E-3</v>
      </c>
      <c r="V51" s="1">
        <v>45593</v>
      </c>
      <c r="W51">
        <v>140.5103</v>
      </c>
      <c r="X51">
        <f t="shared" si="2"/>
        <v>-7.2323261773845271E-3</v>
      </c>
    </row>
    <row r="52" spans="2:24" x14ac:dyDescent="0.25">
      <c r="B52" s="1">
        <v>45594</v>
      </c>
      <c r="C52">
        <v>431.95</v>
      </c>
      <c r="D52">
        <f t="shared" si="0"/>
        <v>1.2486476205073024E-2</v>
      </c>
      <c r="L52" s="1">
        <v>45594</v>
      </c>
      <c r="M52">
        <v>233.67</v>
      </c>
      <c r="N52">
        <f t="shared" si="1"/>
        <v>1.1561437475111353E-3</v>
      </c>
      <c r="V52" s="1">
        <v>45594</v>
      </c>
      <c r="W52">
        <v>141.24019999999999</v>
      </c>
      <c r="X52">
        <f t="shared" si="2"/>
        <v>5.1811913933131389E-3</v>
      </c>
    </row>
    <row r="53" spans="2:24" x14ac:dyDescent="0.25">
      <c r="B53" s="1">
        <v>45595</v>
      </c>
      <c r="C53">
        <v>432.53</v>
      </c>
      <c r="D53">
        <f t="shared" si="0"/>
        <v>1.3418473233082768E-3</v>
      </c>
      <c r="L53" s="1">
        <v>45595</v>
      </c>
      <c r="M53">
        <v>230.1</v>
      </c>
      <c r="N53">
        <f t="shared" si="1"/>
        <v>-1.5395866558646653E-2</v>
      </c>
      <c r="V53" s="1">
        <v>45595</v>
      </c>
      <c r="W53">
        <v>139.3254</v>
      </c>
      <c r="X53">
        <f t="shared" si="2"/>
        <v>-1.3649782652050838E-2</v>
      </c>
    </row>
    <row r="54" spans="2:24" x14ac:dyDescent="0.25">
      <c r="B54" s="1">
        <v>45596</v>
      </c>
      <c r="C54">
        <v>406.35</v>
      </c>
      <c r="D54">
        <f t="shared" si="0"/>
        <v>-6.2436830928987566E-2</v>
      </c>
      <c r="L54" s="1">
        <v>45596</v>
      </c>
      <c r="M54">
        <v>225.91</v>
      </c>
      <c r="N54">
        <f t="shared" si="1"/>
        <v>-1.8377307172189244E-2</v>
      </c>
      <c r="V54" s="1">
        <v>45596</v>
      </c>
      <c r="W54">
        <v>132.7508</v>
      </c>
      <c r="X54">
        <f t="shared" si="2"/>
        <v>-4.8338517967347484E-2</v>
      </c>
    </row>
    <row r="55" spans="2:24" x14ac:dyDescent="0.25">
      <c r="B55" s="1">
        <v>45597</v>
      </c>
      <c r="C55">
        <v>410.37</v>
      </c>
      <c r="D55">
        <f t="shared" si="0"/>
        <v>9.8443345702487126E-3</v>
      </c>
      <c r="L55" s="1">
        <v>45597</v>
      </c>
      <c r="M55">
        <v>222.91</v>
      </c>
      <c r="N55">
        <f t="shared" si="1"/>
        <v>-1.3368587316289905E-2</v>
      </c>
      <c r="V55" s="1">
        <v>45597</v>
      </c>
      <c r="W55">
        <v>135.39070000000001</v>
      </c>
      <c r="X55">
        <f t="shared" si="2"/>
        <v>1.9690986273326279E-2</v>
      </c>
    </row>
    <row r="56" spans="2:24" x14ac:dyDescent="0.25">
      <c r="B56" s="1">
        <v>45600</v>
      </c>
      <c r="C56">
        <v>408.46</v>
      </c>
      <c r="D56">
        <f t="shared" si="0"/>
        <v>-4.6652014804508526E-3</v>
      </c>
      <c r="L56" s="1">
        <v>45600</v>
      </c>
      <c r="M56">
        <v>222.01</v>
      </c>
      <c r="N56">
        <f t="shared" si="1"/>
        <v>-4.0456766500141109E-3</v>
      </c>
      <c r="V56" s="1">
        <v>45600</v>
      </c>
      <c r="W56">
        <v>136.04060000000001</v>
      </c>
      <c r="X56">
        <f t="shared" si="2"/>
        <v>4.7886978542137368E-3</v>
      </c>
    </row>
    <row r="57" spans="2:24" x14ac:dyDescent="0.25">
      <c r="B57" s="1">
        <v>45601</v>
      </c>
      <c r="C57">
        <v>411.46</v>
      </c>
      <c r="D57">
        <f t="shared" si="0"/>
        <v>7.3178197570728321E-3</v>
      </c>
      <c r="L57" s="1">
        <v>45601</v>
      </c>
      <c r="M57">
        <v>223.45</v>
      </c>
      <c r="N57">
        <f t="shared" si="1"/>
        <v>6.4652494766336294E-3</v>
      </c>
      <c r="V57" s="1">
        <v>45601</v>
      </c>
      <c r="W57">
        <v>139.90029999999999</v>
      </c>
      <c r="X57">
        <f t="shared" si="2"/>
        <v>2.7976655461207159E-2</v>
      </c>
    </row>
    <row r="58" spans="2:24" x14ac:dyDescent="0.25">
      <c r="B58" s="1">
        <v>45602</v>
      </c>
      <c r="C58">
        <v>420.18</v>
      </c>
      <c r="D58">
        <f t="shared" si="0"/>
        <v>2.0971380849396815E-2</v>
      </c>
      <c r="L58" s="1">
        <v>45602</v>
      </c>
      <c r="M58">
        <v>222.72</v>
      </c>
      <c r="N58">
        <f t="shared" si="1"/>
        <v>-3.2722982334056835E-3</v>
      </c>
      <c r="V58" s="1">
        <v>45602</v>
      </c>
      <c r="W58">
        <v>145.6</v>
      </c>
      <c r="X58">
        <f t="shared" si="2"/>
        <v>3.9933109704600275E-2</v>
      </c>
    </row>
    <row r="59" spans="2:24" x14ac:dyDescent="0.25">
      <c r="B59" s="1">
        <v>45603</v>
      </c>
      <c r="C59">
        <v>425.43</v>
      </c>
      <c r="D59">
        <f t="shared" si="0"/>
        <v>1.2417231245883099E-2</v>
      </c>
      <c r="L59" s="1">
        <v>45603</v>
      </c>
      <c r="M59">
        <v>227.48</v>
      </c>
      <c r="N59">
        <f t="shared" si="1"/>
        <v>2.1146945292544149E-2</v>
      </c>
      <c r="V59" s="1">
        <v>45603</v>
      </c>
      <c r="W59">
        <v>148.86969999999999</v>
      </c>
      <c r="X59">
        <f t="shared" si="2"/>
        <v>2.2208290943319307E-2</v>
      </c>
    </row>
    <row r="60" spans="2:24" x14ac:dyDescent="0.25">
      <c r="B60" s="1">
        <v>45604</v>
      </c>
      <c r="C60">
        <v>422.54</v>
      </c>
      <c r="D60">
        <f t="shared" si="0"/>
        <v>-6.8163052692757501E-3</v>
      </c>
      <c r="L60" s="1">
        <v>45604</v>
      </c>
      <c r="M60">
        <v>226.96</v>
      </c>
      <c r="N60">
        <f t="shared" si="1"/>
        <v>-2.2885319380029265E-3</v>
      </c>
      <c r="V60" s="1">
        <v>45604</v>
      </c>
      <c r="W60">
        <v>147.6198</v>
      </c>
      <c r="X60">
        <f t="shared" si="2"/>
        <v>-8.4313771948853096E-3</v>
      </c>
    </row>
    <row r="61" spans="2:24" x14ac:dyDescent="0.25">
      <c r="B61" s="1">
        <v>45607</v>
      </c>
      <c r="C61">
        <v>418.01</v>
      </c>
      <c r="D61">
        <f t="shared" si="0"/>
        <v>-1.0778761188517328E-2</v>
      </c>
      <c r="L61" s="1">
        <v>45607</v>
      </c>
      <c r="M61">
        <v>224.23</v>
      </c>
      <c r="N61">
        <f t="shared" si="1"/>
        <v>-1.2101479715156712E-2</v>
      </c>
      <c r="V61" s="1">
        <v>45607</v>
      </c>
      <c r="W61">
        <v>145.25</v>
      </c>
      <c r="X61">
        <f t="shared" si="2"/>
        <v>-1.6183653778998993E-2</v>
      </c>
    </row>
    <row r="62" spans="2:24" x14ac:dyDescent="0.25">
      <c r="B62" s="1">
        <v>45608</v>
      </c>
      <c r="C62">
        <v>423.03</v>
      </c>
      <c r="D62">
        <f t="shared" si="0"/>
        <v>1.1937742833676979E-2</v>
      </c>
      <c r="L62" s="1">
        <v>45608</v>
      </c>
      <c r="M62">
        <v>224.23</v>
      </c>
      <c r="N62">
        <f t="shared" si="1"/>
        <v>0</v>
      </c>
      <c r="V62" s="1">
        <v>45608</v>
      </c>
      <c r="W62">
        <v>148.27979999999999</v>
      </c>
      <c r="X62">
        <f t="shared" si="2"/>
        <v>2.0644633750032906E-2</v>
      </c>
    </row>
    <row r="63" spans="2:24" x14ac:dyDescent="0.25">
      <c r="B63" s="1">
        <v>45609</v>
      </c>
      <c r="C63">
        <v>425.2</v>
      </c>
      <c r="D63">
        <f t="shared" si="0"/>
        <v>5.1165479505444512E-3</v>
      </c>
      <c r="L63" s="1">
        <v>45609</v>
      </c>
      <c r="M63">
        <v>225.12</v>
      </c>
      <c r="N63">
        <f t="shared" si="1"/>
        <v>3.9612825806397481E-3</v>
      </c>
      <c r="V63" s="1">
        <v>45609</v>
      </c>
      <c r="W63">
        <v>146.25989999999999</v>
      </c>
      <c r="X63">
        <f t="shared" si="2"/>
        <v>-1.371585335341623E-2</v>
      </c>
    </row>
    <row r="64" spans="2:24" x14ac:dyDescent="0.25">
      <c r="B64" s="1">
        <v>45610</v>
      </c>
      <c r="C64">
        <v>426.89</v>
      </c>
      <c r="D64">
        <f t="shared" si="0"/>
        <v>3.9667223321382299E-3</v>
      </c>
      <c r="L64" s="1">
        <v>45610</v>
      </c>
      <c r="M64">
        <v>228.22</v>
      </c>
      <c r="N64">
        <f t="shared" si="1"/>
        <v>1.3676482640454679E-2</v>
      </c>
      <c r="V64" s="1">
        <v>45610</v>
      </c>
      <c r="W64">
        <v>146.7499</v>
      </c>
      <c r="X64">
        <f t="shared" si="2"/>
        <v>3.3446011483313468E-3</v>
      </c>
    </row>
    <row r="65" spans="2:24" x14ac:dyDescent="0.25">
      <c r="B65" s="1">
        <v>45611</v>
      </c>
      <c r="C65">
        <v>415</v>
      </c>
      <c r="D65">
        <f t="shared" si="0"/>
        <v>-2.8247848569232886E-2</v>
      </c>
      <c r="L65" s="1">
        <v>45611</v>
      </c>
      <c r="M65">
        <v>225</v>
      </c>
      <c r="N65">
        <f t="shared" si="1"/>
        <v>-1.4209673802113448E-2</v>
      </c>
      <c r="V65" s="1">
        <v>45611</v>
      </c>
      <c r="W65">
        <v>141.97020000000001</v>
      </c>
      <c r="X65">
        <f t="shared" si="2"/>
        <v>-3.3112600854151103E-2</v>
      </c>
    </row>
    <row r="66" spans="2:24" x14ac:dyDescent="0.25">
      <c r="B66" s="1">
        <v>45614</v>
      </c>
      <c r="C66">
        <v>415.76</v>
      </c>
      <c r="D66">
        <f t="shared" si="0"/>
        <v>1.8296504694880775E-3</v>
      </c>
      <c r="L66" s="1">
        <v>45614</v>
      </c>
      <c r="M66">
        <v>228.02</v>
      </c>
      <c r="N66">
        <f t="shared" si="1"/>
        <v>1.3332942201153587E-2</v>
      </c>
      <c r="V66" s="1">
        <v>45614</v>
      </c>
      <c r="W66">
        <v>140.1403</v>
      </c>
      <c r="X66">
        <f t="shared" si="2"/>
        <v>-1.2973112766294582E-2</v>
      </c>
    </row>
    <row r="67" spans="2:24" x14ac:dyDescent="0.25">
      <c r="B67" s="1">
        <v>45615</v>
      </c>
      <c r="C67">
        <v>417.79</v>
      </c>
      <c r="D67">
        <f t="shared" si="0"/>
        <v>4.8707432387547949E-3</v>
      </c>
      <c r="L67" s="1">
        <v>45615</v>
      </c>
      <c r="M67">
        <v>228.28</v>
      </c>
      <c r="N67">
        <f t="shared" si="1"/>
        <v>1.1396012629335743E-3</v>
      </c>
      <c r="V67" s="1">
        <v>45615</v>
      </c>
      <c r="W67">
        <v>146.9999</v>
      </c>
      <c r="X67">
        <f t="shared" si="2"/>
        <v>4.7787842849873217E-2</v>
      </c>
    </row>
    <row r="68" spans="2:24" x14ac:dyDescent="0.25">
      <c r="B68" s="1">
        <v>45616</v>
      </c>
      <c r="C68">
        <v>415.49</v>
      </c>
      <c r="D68">
        <f t="shared" ref="D68:D128" si="3">LN(C68/C67)</f>
        <v>-5.5203673217509306E-3</v>
      </c>
      <c r="L68" s="1">
        <v>45616</v>
      </c>
      <c r="M68">
        <v>229</v>
      </c>
      <c r="N68">
        <f t="shared" ref="N68:N128" si="4">LN(M68/M67)</f>
        <v>3.1490578857323766E-3</v>
      </c>
      <c r="V68" s="1">
        <v>45616</v>
      </c>
      <c r="W68">
        <v>145.87989999999999</v>
      </c>
      <c r="X68">
        <f t="shared" ref="X68:X127" si="5">LN(W68/W67)</f>
        <v>-7.648226061078906E-3</v>
      </c>
    </row>
    <row r="69" spans="2:24" x14ac:dyDescent="0.25">
      <c r="B69" s="1">
        <v>45617</v>
      </c>
      <c r="C69">
        <v>412.87</v>
      </c>
      <c r="D69">
        <f t="shared" si="3"/>
        <v>-6.3257731824115397E-3</v>
      </c>
      <c r="L69" s="1">
        <v>45617</v>
      </c>
      <c r="M69">
        <v>228.52</v>
      </c>
      <c r="N69">
        <f t="shared" si="4"/>
        <v>-2.0982696979778065E-3</v>
      </c>
      <c r="V69" s="1">
        <v>45617</v>
      </c>
      <c r="W69">
        <v>146.65989999999999</v>
      </c>
      <c r="X69">
        <f t="shared" si="5"/>
        <v>5.3326203709288984E-3</v>
      </c>
    </row>
    <row r="70" spans="2:24" x14ac:dyDescent="0.25">
      <c r="B70" s="1">
        <v>45618</v>
      </c>
      <c r="C70">
        <v>417</v>
      </c>
      <c r="D70">
        <f t="shared" si="3"/>
        <v>9.9534483640226559E-3</v>
      </c>
      <c r="L70" s="1">
        <v>45618</v>
      </c>
      <c r="M70">
        <v>229.87</v>
      </c>
      <c r="N70">
        <f t="shared" si="4"/>
        <v>5.890197880063815E-3</v>
      </c>
      <c r="V70" s="1">
        <v>45618</v>
      </c>
      <c r="W70">
        <v>141.9402</v>
      </c>
      <c r="X70">
        <f t="shared" si="5"/>
        <v>-3.2710458674325975E-2</v>
      </c>
    </row>
    <row r="71" spans="2:24" x14ac:dyDescent="0.25">
      <c r="B71" s="1">
        <v>45621</v>
      </c>
      <c r="C71">
        <v>418.79</v>
      </c>
      <c r="D71">
        <f t="shared" si="3"/>
        <v>4.2833791665618029E-3</v>
      </c>
      <c r="L71" s="1">
        <v>45621</v>
      </c>
      <c r="M71">
        <v>232.87</v>
      </c>
      <c r="N71">
        <f t="shared" si="4"/>
        <v>1.2966426208818584E-2</v>
      </c>
      <c r="V71" s="1">
        <v>45621</v>
      </c>
      <c r="W71">
        <v>136.01060000000001</v>
      </c>
      <c r="X71">
        <f t="shared" si="5"/>
        <v>-4.2673018266652984E-2</v>
      </c>
    </row>
    <row r="72" spans="2:24" x14ac:dyDescent="0.25">
      <c r="B72" s="1">
        <v>45622</v>
      </c>
      <c r="C72">
        <v>427.99</v>
      </c>
      <c r="D72">
        <f t="shared" si="3"/>
        <v>2.1730229857498513E-2</v>
      </c>
      <c r="L72" s="1">
        <v>45622</v>
      </c>
      <c r="M72">
        <v>235.06</v>
      </c>
      <c r="N72">
        <f t="shared" si="4"/>
        <v>9.3604427595636724E-3</v>
      </c>
      <c r="V72" s="1">
        <v>45622</v>
      </c>
      <c r="W72">
        <v>136.91059999999999</v>
      </c>
      <c r="X72">
        <f t="shared" si="5"/>
        <v>6.5953342018142272E-3</v>
      </c>
    </row>
    <row r="73" spans="2:24" x14ac:dyDescent="0.25">
      <c r="B73" s="1">
        <v>45623</v>
      </c>
      <c r="C73">
        <v>422.99</v>
      </c>
      <c r="D73">
        <f t="shared" si="3"/>
        <v>-1.1751292717967056E-2</v>
      </c>
      <c r="L73" s="1">
        <v>45623</v>
      </c>
      <c r="M73">
        <v>234.93</v>
      </c>
      <c r="N73">
        <f t="shared" si="4"/>
        <v>-5.5320327375206512E-4</v>
      </c>
      <c r="V73" s="1">
        <v>45623</v>
      </c>
      <c r="W73">
        <v>135.33070000000001</v>
      </c>
      <c r="X73">
        <f t="shared" si="5"/>
        <v>-1.1606745460848977E-2</v>
      </c>
    </row>
    <row r="74" spans="2:24" x14ac:dyDescent="0.25">
      <c r="B74" s="1">
        <v>45625</v>
      </c>
      <c r="C74">
        <v>423.46</v>
      </c>
      <c r="D74">
        <f t="shared" si="3"/>
        <v>1.1105205228955624E-3</v>
      </c>
      <c r="L74" s="1">
        <v>45625</v>
      </c>
      <c r="M74">
        <v>237.33</v>
      </c>
      <c r="N74">
        <f t="shared" si="4"/>
        <v>1.0163980270458799E-2</v>
      </c>
      <c r="V74" s="1">
        <v>45625</v>
      </c>
      <c r="W74">
        <v>138.2405</v>
      </c>
      <c r="X74">
        <f t="shared" si="5"/>
        <v>2.1273509331120377E-2</v>
      </c>
    </row>
    <row r="75" spans="2:24" x14ac:dyDescent="0.25">
      <c r="B75" s="1">
        <v>45628</v>
      </c>
      <c r="C75">
        <v>430.98</v>
      </c>
      <c r="D75">
        <f t="shared" si="3"/>
        <v>1.760262668697498E-2</v>
      </c>
      <c r="L75" s="1">
        <v>45628</v>
      </c>
      <c r="M75">
        <v>239.59</v>
      </c>
      <c r="N75">
        <f t="shared" si="4"/>
        <v>9.477551441854002E-3</v>
      </c>
      <c r="V75" s="1">
        <v>45628</v>
      </c>
      <c r="W75">
        <v>138.62039999999999</v>
      </c>
      <c r="X75">
        <f t="shared" si="5"/>
        <v>2.7443401248179616E-3</v>
      </c>
    </row>
    <row r="76" spans="2:24" x14ac:dyDescent="0.25">
      <c r="B76" s="1">
        <v>45629</v>
      </c>
      <c r="C76">
        <v>431.2</v>
      </c>
      <c r="D76">
        <f t="shared" si="3"/>
        <v>5.103342800221258E-4</v>
      </c>
      <c r="L76" s="1">
        <v>45629</v>
      </c>
      <c r="M76">
        <v>242.65</v>
      </c>
      <c r="N76">
        <f t="shared" si="4"/>
        <v>1.269094670795666E-2</v>
      </c>
      <c r="V76" s="1">
        <v>45629</v>
      </c>
      <c r="W76">
        <v>140.25030000000001</v>
      </c>
      <c r="X76">
        <f t="shared" si="5"/>
        <v>1.1689421365780377E-2</v>
      </c>
    </row>
    <row r="77" spans="2:24" x14ac:dyDescent="0.25">
      <c r="B77" s="1">
        <v>45630</v>
      </c>
      <c r="C77">
        <v>437.42</v>
      </c>
      <c r="D77">
        <f t="shared" si="3"/>
        <v>1.432181233961893E-2</v>
      </c>
      <c r="L77" s="1">
        <v>45630</v>
      </c>
      <c r="M77">
        <v>243.01</v>
      </c>
      <c r="N77">
        <f t="shared" si="4"/>
        <v>1.4825189059665656E-3</v>
      </c>
      <c r="V77" s="1">
        <v>45630</v>
      </c>
      <c r="W77">
        <v>145.13</v>
      </c>
      <c r="X77">
        <f t="shared" si="5"/>
        <v>3.4201209044320197E-2</v>
      </c>
    </row>
    <row r="78" spans="2:24" x14ac:dyDescent="0.25">
      <c r="B78" s="1">
        <v>45631</v>
      </c>
      <c r="C78">
        <v>442.62</v>
      </c>
      <c r="D78">
        <f t="shared" si="3"/>
        <v>1.1817782189859459E-2</v>
      </c>
      <c r="L78" s="1">
        <v>45631</v>
      </c>
      <c r="M78">
        <v>243.04</v>
      </c>
      <c r="N78">
        <f t="shared" si="4"/>
        <v>1.2344409027086238E-4</v>
      </c>
      <c r="V78" s="1">
        <v>45631</v>
      </c>
      <c r="W78">
        <v>145.06</v>
      </c>
      <c r="X78">
        <f t="shared" si="5"/>
        <v>-4.8244254700509847E-4</v>
      </c>
    </row>
    <row r="79" spans="2:24" x14ac:dyDescent="0.25">
      <c r="B79" s="1">
        <v>45632</v>
      </c>
      <c r="C79">
        <v>443.57</v>
      </c>
      <c r="D79">
        <f t="shared" si="3"/>
        <v>2.1440105708975103E-3</v>
      </c>
      <c r="L79" s="1">
        <v>45632</v>
      </c>
      <c r="M79">
        <v>242.84</v>
      </c>
      <c r="N79">
        <f t="shared" si="4"/>
        <v>-8.2324858522934052E-4</v>
      </c>
      <c r="V79" s="1">
        <v>45632</v>
      </c>
      <c r="W79">
        <v>142.44</v>
      </c>
      <c r="X79">
        <f t="shared" si="5"/>
        <v>-1.8226591525689419E-2</v>
      </c>
    </row>
    <row r="80" spans="2:24" x14ac:dyDescent="0.25">
      <c r="B80" s="1">
        <v>45635</v>
      </c>
      <c r="C80">
        <v>446.02</v>
      </c>
      <c r="D80">
        <f t="shared" si="3"/>
        <v>5.5081693688085664E-3</v>
      </c>
      <c r="L80" s="1">
        <v>45635</v>
      </c>
      <c r="M80">
        <v>246.75</v>
      </c>
      <c r="N80">
        <f t="shared" si="4"/>
        <v>1.5972888051357558E-2</v>
      </c>
      <c r="V80" s="1">
        <v>45635</v>
      </c>
      <c r="W80">
        <v>138.81</v>
      </c>
      <c r="X80">
        <f t="shared" si="5"/>
        <v>-2.5814766822559045E-2</v>
      </c>
    </row>
    <row r="81" spans="2:24" x14ac:dyDescent="0.25">
      <c r="B81" s="1">
        <v>45636</v>
      </c>
      <c r="C81">
        <v>443.33</v>
      </c>
      <c r="D81">
        <f t="shared" si="3"/>
        <v>-6.0493803415409345E-3</v>
      </c>
      <c r="L81" s="1">
        <v>45636</v>
      </c>
      <c r="M81">
        <v>247.77</v>
      </c>
      <c r="N81">
        <f t="shared" si="4"/>
        <v>4.1252181771443009E-3</v>
      </c>
      <c r="V81" s="1">
        <v>45636</v>
      </c>
      <c r="W81">
        <v>135.07</v>
      </c>
      <c r="X81">
        <f t="shared" si="5"/>
        <v>-2.731292901434523E-2</v>
      </c>
    </row>
    <row r="82" spans="2:24" x14ac:dyDescent="0.25">
      <c r="B82" s="1">
        <v>45637</v>
      </c>
      <c r="C82">
        <v>448.99</v>
      </c>
      <c r="D82">
        <f t="shared" si="3"/>
        <v>1.2686202056882959E-2</v>
      </c>
      <c r="L82" s="1">
        <v>45637</v>
      </c>
      <c r="M82">
        <v>246.49</v>
      </c>
      <c r="N82">
        <f t="shared" si="4"/>
        <v>-5.1794717822105452E-3</v>
      </c>
      <c r="V82" s="1">
        <v>45637</v>
      </c>
      <c r="W82">
        <v>139.31</v>
      </c>
      <c r="X82">
        <f t="shared" si="5"/>
        <v>3.0908503145460821E-2</v>
      </c>
    </row>
    <row r="83" spans="2:24" x14ac:dyDescent="0.25">
      <c r="B83" s="1">
        <v>45638</v>
      </c>
      <c r="C83">
        <v>449.56</v>
      </c>
      <c r="D83">
        <f t="shared" si="3"/>
        <v>1.2687108707523317E-3</v>
      </c>
      <c r="L83" s="1">
        <v>45638</v>
      </c>
      <c r="M83">
        <v>247.96</v>
      </c>
      <c r="N83">
        <f t="shared" si="4"/>
        <v>5.9460181251939897E-3</v>
      </c>
      <c r="V83" s="1">
        <v>45638</v>
      </c>
      <c r="W83">
        <v>137.34</v>
      </c>
      <c r="X83">
        <f t="shared" si="5"/>
        <v>-1.4242062525603194E-2</v>
      </c>
    </row>
    <row r="84" spans="2:24" x14ac:dyDescent="0.25">
      <c r="B84" s="1">
        <v>45639</v>
      </c>
      <c r="C84">
        <v>447.27</v>
      </c>
      <c r="D84">
        <f t="shared" si="3"/>
        <v>-5.106887541648961E-3</v>
      </c>
      <c r="L84" s="1">
        <v>45639</v>
      </c>
      <c r="M84">
        <v>248.13</v>
      </c>
      <c r="N84">
        <f t="shared" si="4"/>
        <v>6.8535953820605803E-4</v>
      </c>
      <c r="V84" s="1">
        <v>45639</v>
      </c>
      <c r="W84">
        <v>134.25</v>
      </c>
      <c r="X84">
        <f t="shared" si="5"/>
        <v>-2.2755869803556265E-2</v>
      </c>
    </row>
    <row r="85" spans="2:24" x14ac:dyDescent="0.25">
      <c r="B85" s="1">
        <v>45642</v>
      </c>
      <c r="C85">
        <v>451.59</v>
      </c>
      <c r="D85">
        <f t="shared" si="3"/>
        <v>9.6122494321048465E-3</v>
      </c>
      <c r="L85" s="1">
        <v>45642</v>
      </c>
      <c r="M85">
        <v>251.04</v>
      </c>
      <c r="N85">
        <f t="shared" si="4"/>
        <v>1.1659486612797755E-2</v>
      </c>
      <c r="V85" s="1">
        <v>45642</v>
      </c>
      <c r="W85">
        <v>132</v>
      </c>
      <c r="X85">
        <f t="shared" si="5"/>
        <v>-1.6901810802603254E-2</v>
      </c>
    </row>
    <row r="86" spans="2:24" x14ac:dyDescent="0.25">
      <c r="B86" s="1">
        <v>45643</v>
      </c>
      <c r="C86">
        <v>454.46</v>
      </c>
      <c r="D86">
        <f t="shared" si="3"/>
        <v>6.3352124031293821E-3</v>
      </c>
      <c r="L86" s="1">
        <v>45643</v>
      </c>
      <c r="M86">
        <v>253.48</v>
      </c>
      <c r="N86">
        <f t="shared" si="4"/>
        <v>9.6726354705936723E-3</v>
      </c>
      <c r="V86" s="1">
        <v>45643</v>
      </c>
      <c r="W86">
        <v>130.38999999999999</v>
      </c>
      <c r="X86">
        <f t="shared" si="5"/>
        <v>-1.2271963150990077E-2</v>
      </c>
    </row>
    <row r="87" spans="2:24" x14ac:dyDescent="0.25">
      <c r="B87" s="1">
        <v>45644</v>
      </c>
      <c r="C87">
        <v>437.39</v>
      </c>
      <c r="D87">
        <f t="shared" si="3"/>
        <v>-3.8284655330873545E-2</v>
      </c>
      <c r="L87" s="1">
        <v>45644</v>
      </c>
      <c r="M87">
        <v>248.05</v>
      </c>
      <c r="N87">
        <f t="shared" si="4"/>
        <v>-2.1654585708258262E-2</v>
      </c>
      <c r="V87" s="1">
        <v>45644</v>
      </c>
      <c r="W87">
        <v>128.91</v>
      </c>
      <c r="X87">
        <f t="shared" si="5"/>
        <v>-1.1415472980367396E-2</v>
      </c>
    </row>
    <row r="88" spans="2:24" x14ac:dyDescent="0.25">
      <c r="B88" s="1">
        <v>45645</v>
      </c>
      <c r="C88">
        <v>437.03</v>
      </c>
      <c r="D88">
        <f t="shared" si="3"/>
        <v>-8.2340298790001861E-4</v>
      </c>
      <c r="L88" s="1">
        <v>45645</v>
      </c>
      <c r="M88">
        <v>249.79</v>
      </c>
      <c r="N88">
        <f t="shared" si="4"/>
        <v>6.9902261174959015E-3</v>
      </c>
      <c r="V88" s="1">
        <v>45645</v>
      </c>
      <c r="W88">
        <v>130.68</v>
      </c>
      <c r="X88">
        <f t="shared" si="5"/>
        <v>1.3637100277856131E-2</v>
      </c>
    </row>
    <row r="89" spans="2:24" x14ac:dyDescent="0.25">
      <c r="B89" s="1">
        <v>45646</v>
      </c>
      <c r="C89">
        <v>436.6</v>
      </c>
      <c r="D89">
        <f t="shared" si="3"/>
        <v>-9.8439850903452616E-4</v>
      </c>
      <c r="L89" s="1">
        <v>45646</v>
      </c>
      <c r="M89">
        <v>254.49</v>
      </c>
      <c r="N89">
        <f t="shared" si="4"/>
        <v>1.8640977623199214E-2</v>
      </c>
      <c r="V89" s="1">
        <v>45646</v>
      </c>
      <c r="W89">
        <v>134.69999999999999</v>
      </c>
      <c r="X89">
        <f t="shared" si="5"/>
        <v>3.0298496683448778E-2</v>
      </c>
    </row>
    <row r="90" spans="2:24" x14ac:dyDescent="0.25">
      <c r="B90" s="1">
        <v>45649</v>
      </c>
      <c r="C90">
        <v>435.25</v>
      </c>
      <c r="D90">
        <f t="shared" si="3"/>
        <v>-3.0968654675452034E-3</v>
      </c>
      <c r="L90" s="1">
        <v>45649</v>
      </c>
      <c r="M90">
        <v>255.27</v>
      </c>
      <c r="N90">
        <f t="shared" si="4"/>
        <v>3.0602660418225774E-3</v>
      </c>
      <c r="V90" s="1">
        <v>45649</v>
      </c>
      <c r="W90">
        <v>139.66999999999999</v>
      </c>
      <c r="X90">
        <f t="shared" si="5"/>
        <v>3.6232413901361615E-2</v>
      </c>
    </row>
    <row r="91" spans="2:24" x14ac:dyDescent="0.25">
      <c r="B91" s="1">
        <v>45650</v>
      </c>
      <c r="C91">
        <v>439.33</v>
      </c>
      <c r="D91">
        <f t="shared" si="3"/>
        <v>9.3302604638468636E-3</v>
      </c>
      <c r="L91" s="1">
        <v>45650</v>
      </c>
      <c r="M91">
        <v>258.2</v>
      </c>
      <c r="N91">
        <f t="shared" si="4"/>
        <v>1.1412669882966294E-2</v>
      </c>
      <c r="V91" s="1">
        <v>45650</v>
      </c>
      <c r="W91">
        <v>140.22</v>
      </c>
      <c r="X91">
        <f t="shared" si="5"/>
        <v>3.9301204611417624E-3</v>
      </c>
    </row>
    <row r="92" spans="2:24" x14ac:dyDescent="0.25">
      <c r="B92" s="1">
        <v>45652</v>
      </c>
      <c r="C92">
        <v>438.11</v>
      </c>
      <c r="D92">
        <f t="shared" si="3"/>
        <v>-2.780818713948305E-3</v>
      </c>
      <c r="L92" s="1">
        <v>45652</v>
      </c>
      <c r="M92">
        <v>259.02</v>
      </c>
      <c r="N92">
        <f t="shared" si="4"/>
        <v>3.1708003828989626E-3</v>
      </c>
      <c r="V92" s="1">
        <v>45652</v>
      </c>
      <c r="W92">
        <v>139.93</v>
      </c>
      <c r="X92">
        <f t="shared" si="5"/>
        <v>-2.070320211199508E-3</v>
      </c>
    </row>
    <row r="93" spans="2:24" x14ac:dyDescent="0.25">
      <c r="B93" s="1">
        <v>45653</v>
      </c>
      <c r="C93">
        <v>430.53</v>
      </c>
      <c r="D93">
        <f t="shared" si="3"/>
        <v>-1.7453012547246734E-2</v>
      </c>
      <c r="L93" s="1">
        <v>45653</v>
      </c>
      <c r="M93">
        <v>255.59</v>
      </c>
      <c r="N93">
        <f>LN(M93/M92)</f>
        <v>-1.3330680688083499E-2</v>
      </c>
      <c r="V93" s="1">
        <v>45653</v>
      </c>
      <c r="W93">
        <v>137.01</v>
      </c>
      <c r="X93">
        <f t="shared" si="5"/>
        <v>-2.1088381702604804E-2</v>
      </c>
    </row>
    <row r="94" spans="2:24" x14ac:dyDescent="0.25">
      <c r="B94" s="1">
        <v>45656</v>
      </c>
      <c r="C94">
        <v>424.83</v>
      </c>
      <c r="D94">
        <f t="shared" si="3"/>
        <v>-1.3327918947873099E-2</v>
      </c>
      <c r="L94" s="1">
        <v>45656</v>
      </c>
      <c r="M94">
        <v>252.2</v>
      </c>
      <c r="N94">
        <f t="shared" si="4"/>
        <v>-1.3352174576538492E-2</v>
      </c>
      <c r="V94" s="1">
        <v>45656</v>
      </c>
      <c r="W94">
        <v>137.49</v>
      </c>
      <c r="X94">
        <f t="shared" si="5"/>
        <v>3.4972713241252736E-3</v>
      </c>
    </row>
    <row r="95" spans="2:24" x14ac:dyDescent="0.25">
      <c r="B95" s="1">
        <v>45657</v>
      </c>
      <c r="C95">
        <v>421.5</v>
      </c>
      <c r="D95">
        <f t="shared" si="3"/>
        <v>-7.8693114611669106E-3</v>
      </c>
      <c r="L95" s="1">
        <v>45657</v>
      </c>
      <c r="M95">
        <v>250.42</v>
      </c>
      <c r="N95">
        <f t="shared" si="4"/>
        <v>-7.0829152900175382E-3</v>
      </c>
      <c r="V95" s="1">
        <v>45657</v>
      </c>
      <c r="W95">
        <v>134.29</v>
      </c>
      <c r="X95">
        <f t="shared" si="5"/>
        <v>-2.3549546596058561E-2</v>
      </c>
    </row>
    <row r="96" spans="2:24" x14ac:dyDescent="0.25">
      <c r="B96" s="1">
        <v>45659</v>
      </c>
      <c r="C96">
        <v>418.58</v>
      </c>
      <c r="D96">
        <f t="shared" si="3"/>
        <v>-6.9517468800784493E-3</v>
      </c>
      <c r="L96" s="1">
        <v>45659</v>
      </c>
      <c r="M96">
        <v>243.85</v>
      </c>
      <c r="N96">
        <f t="shared" si="4"/>
        <v>-2.6586226084739983E-2</v>
      </c>
      <c r="V96" s="1">
        <v>45659</v>
      </c>
      <c r="W96">
        <v>138.31</v>
      </c>
      <c r="X96">
        <f t="shared" si="5"/>
        <v>2.9495902043532696E-2</v>
      </c>
    </row>
    <row r="97" spans="2:24" x14ac:dyDescent="0.25">
      <c r="B97" s="1">
        <v>45660</v>
      </c>
      <c r="C97">
        <v>423.35</v>
      </c>
      <c r="D97">
        <f t="shared" si="3"/>
        <v>1.1331229526454522E-2</v>
      </c>
      <c r="L97" s="1">
        <v>45660</v>
      </c>
      <c r="M97">
        <v>243.36</v>
      </c>
      <c r="N97">
        <f t="shared" si="4"/>
        <v>-2.0114536450788353E-3</v>
      </c>
      <c r="V97" s="1">
        <v>45660</v>
      </c>
      <c r="W97">
        <v>144.47</v>
      </c>
      <c r="X97">
        <f t="shared" si="5"/>
        <v>4.3574330904673421E-2</v>
      </c>
    </row>
    <row r="98" spans="2:24" x14ac:dyDescent="0.25">
      <c r="B98" s="1">
        <v>45663</v>
      </c>
      <c r="C98">
        <v>427.85</v>
      </c>
      <c r="D98">
        <f t="shared" si="3"/>
        <v>1.057340677577758E-2</v>
      </c>
      <c r="L98" s="1">
        <v>45663</v>
      </c>
      <c r="M98">
        <v>245</v>
      </c>
      <c r="N98">
        <f t="shared" si="4"/>
        <v>6.7163820337442027E-3</v>
      </c>
      <c r="V98" s="1">
        <v>45663</v>
      </c>
      <c r="W98">
        <v>149.43</v>
      </c>
      <c r="X98">
        <f t="shared" si="5"/>
        <v>3.3756182212011883E-2</v>
      </c>
    </row>
    <row r="99" spans="2:24" x14ac:dyDescent="0.25">
      <c r="B99" s="1">
        <v>45664</v>
      </c>
      <c r="C99">
        <v>422.37</v>
      </c>
      <c r="D99">
        <f t="shared" si="3"/>
        <v>-1.2890959721518212E-2</v>
      </c>
      <c r="L99" s="1">
        <v>45664</v>
      </c>
      <c r="M99">
        <v>242.21</v>
      </c>
      <c r="N99">
        <f t="shared" si="4"/>
        <v>-1.1453092086491822E-2</v>
      </c>
      <c r="V99" s="1">
        <v>45664</v>
      </c>
      <c r="W99">
        <v>140.13999999999999</v>
      </c>
      <c r="X99">
        <f t="shared" si="5"/>
        <v>-6.4186132810914065E-2</v>
      </c>
    </row>
    <row r="100" spans="2:24" x14ac:dyDescent="0.25">
      <c r="B100" s="1">
        <v>45665</v>
      </c>
      <c r="C100">
        <v>424.56</v>
      </c>
      <c r="D100">
        <f t="shared" si="3"/>
        <v>5.1716313770938417E-3</v>
      </c>
      <c r="L100" s="1">
        <v>45665</v>
      </c>
      <c r="M100">
        <v>242.7</v>
      </c>
      <c r="N100">
        <f t="shared" si="4"/>
        <v>2.0209942743203797E-3</v>
      </c>
      <c r="V100" s="1">
        <v>45665</v>
      </c>
      <c r="W100">
        <v>140.11000000000001</v>
      </c>
      <c r="X100">
        <f t="shared" si="5"/>
        <v>-2.140945592475461E-4</v>
      </c>
    </row>
    <row r="101" spans="2:24" x14ac:dyDescent="0.25">
      <c r="B101" s="1">
        <v>45667</v>
      </c>
      <c r="C101">
        <v>418.95</v>
      </c>
      <c r="D101">
        <f t="shared" si="3"/>
        <v>-1.3301757460344052E-2</v>
      </c>
      <c r="L101" s="1">
        <v>45667</v>
      </c>
      <c r="M101">
        <v>236.85</v>
      </c>
      <c r="N101">
        <f t="shared" si="4"/>
        <v>-2.4399083362794845E-2</v>
      </c>
      <c r="V101" s="1">
        <v>45667</v>
      </c>
      <c r="W101">
        <v>135.91</v>
      </c>
      <c r="X101">
        <f t="shared" si="5"/>
        <v>-3.0434926415884248E-2</v>
      </c>
    </row>
    <row r="102" spans="2:24" x14ac:dyDescent="0.25">
      <c r="B102" s="1">
        <v>45670</v>
      </c>
      <c r="C102">
        <v>417.19</v>
      </c>
      <c r="D102">
        <f t="shared" si="3"/>
        <v>-4.209827539218081E-3</v>
      </c>
      <c r="L102" s="1">
        <v>45670</v>
      </c>
      <c r="M102">
        <v>234.4</v>
      </c>
      <c r="N102">
        <f t="shared" si="4"/>
        <v>-1.0397971666903203E-2</v>
      </c>
      <c r="V102" s="1">
        <v>45670</v>
      </c>
      <c r="W102">
        <v>133.22999999999999</v>
      </c>
      <c r="X102">
        <f t="shared" si="5"/>
        <v>-1.9915943995135368E-2</v>
      </c>
    </row>
    <row r="103" spans="2:24" x14ac:dyDescent="0.25">
      <c r="B103" s="1">
        <v>45671</v>
      </c>
      <c r="C103">
        <v>415.67</v>
      </c>
      <c r="D103">
        <f t="shared" si="3"/>
        <v>-3.6500772941136213E-3</v>
      </c>
      <c r="L103" s="1">
        <v>45671</v>
      </c>
      <c r="M103">
        <v>233.28</v>
      </c>
      <c r="N103">
        <f t="shared" si="4"/>
        <v>-4.7896088825642048E-3</v>
      </c>
      <c r="V103" s="1">
        <v>45671</v>
      </c>
      <c r="W103">
        <v>131.76</v>
      </c>
      <c r="X103">
        <f t="shared" si="5"/>
        <v>-1.1094872102735659E-2</v>
      </c>
    </row>
    <row r="104" spans="2:24" x14ac:dyDescent="0.25">
      <c r="B104" s="1">
        <v>45672</v>
      </c>
      <c r="C104">
        <v>426.31</v>
      </c>
      <c r="D104">
        <f t="shared" si="3"/>
        <v>2.5275104928999953E-2</v>
      </c>
      <c r="L104" s="1">
        <v>45672</v>
      </c>
      <c r="M104">
        <v>237.87</v>
      </c>
      <c r="N104">
        <f t="shared" si="4"/>
        <v>1.9484857132124001E-2</v>
      </c>
      <c r="V104" s="1">
        <v>45672</v>
      </c>
      <c r="W104">
        <v>136.24</v>
      </c>
      <c r="X104">
        <f t="shared" si="5"/>
        <v>3.3435950485048091E-2</v>
      </c>
    </row>
    <row r="105" spans="2:24" x14ac:dyDescent="0.25">
      <c r="B105" s="1">
        <v>45673</v>
      </c>
      <c r="C105">
        <v>424.58</v>
      </c>
      <c r="D105">
        <f t="shared" si="3"/>
        <v>-4.066336151107945E-3</v>
      </c>
      <c r="L105" s="1">
        <v>45673</v>
      </c>
      <c r="M105">
        <v>228.26</v>
      </c>
      <c r="N105">
        <f t="shared" si="4"/>
        <v>-4.1238975826963314E-2</v>
      </c>
      <c r="V105" s="1">
        <v>45673</v>
      </c>
      <c r="W105">
        <v>133.57</v>
      </c>
      <c r="X105">
        <f t="shared" si="5"/>
        <v>-1.9792351365419E-2</v>
      </c>
    </row>
    <row r="106" spans="2:24" x14ac:dyDescent="0.25">
      <c r="B106" s="1">
        <v>45674</v>
      </c>
      <c r="C106">
        <v>429.03</v>
      </c>
      <c r="D106">
        <f t="shared" si="3"/>
        <v>1.0426401549097972E-2</v>
      </c>
      <c r="L106" s="1">
        <v>45674</v>
      </c>
      <c r="M106">
        <v>229.98</v>
      </c>
      <c r="N106">
        <f t="shared" si="4"/>
        <v>7.5070184950648353E-3</v>
      </c>
      <c r="V106" s="1">
        <v>45674</v>
      </c>
      <c r="W106">
        <v>137.71</v>
      </c>
      <c r="X106">
        <f t="shared" si="5"/>
        <v>3.0524339750020613E-2</v>
      </c>
    </row>
    <row r="107" spans="2:24" x14ac:dyDescent="0.25">
      <c r="B107" s="1">
        <v>45678</v>
      </c>
      <c r="C107">
        <v>428.5</v>
      </c>
      <c r="D107">
        <f t="shared" si="3"/>
        <v>-1.236108515119177E-3</v>
      </c>
      <c r="L107" s="1">
        <v>45678</v>
      </c>
      <c r="M107">
        <v>222.64</v>
      </c>
      <c r="N107">
        <f t="shared" si="4"/>
        <v>-3.2436231402883438E-2</v>
      </c>
      <c r="V107" s="1">
        <v>45678</v>
      </c>
      <c r="W107">
        <v>140.83000000000001</v>
      </c>
      <c r="X107">
        <f t="shared" si="5"/>
        <v>2.2403464470924412E-2</v>
      </c>
    </row>
    <row r="108" spans="2:24" x14ac:dyDescent="0.25">
      <c r="B108" s="1">
        <v>45679</v>
      </c>
      <c r="C108">
        <v>446.2</v>
      </c>
      <c r="D108">
        <f t="shared" si="3"/>
        <v>4.0476543960597577E-2</v>
      </c>
      <c r="L108" s="1">
        <v>45679</v>
      </c>
      <c r="M108">
        <v>223.83</v>
      </c>
      <c r="N108">
        <f t="shared" si="4"/>
        <v>5.3307179338975266E-3</v>
      </c>
      <c r="V108" s="1">
        <v>45679</v>
      </c>
      <c r="W108">
        <v>147.07</v>
      </c>
      <c r="X108">
        <f t="shared" si="5"/>
        <v>4.3355174702263348E-2</v>
      </c>
    </row>
    <row r="109" spans="2:24" x14ac:dyDescent="0.25">
      <c r="B109" s="1">
        <v>45680</v>
      </c>
      <c r="C109">
        <v>446.71</v>
      </c>
      <c r="D109">
        <f t="shared" si="3"/>
        <v>1.142332498144708E-3</v>
      </c>
      <c r="L109" s="1">
        <v>45680</v>
      </c>
      <c r="M109">
        <v>223.66</v>
      </c>
      <c r="N109">
        <f t="shared" si="4"/>
        <v>-7.5979355149053557E-4</v>
      </c>
      <c r="V109" s="1">
        <v>45680</v>
      </c>
      <c r="W109">
        <v>147.22</v>
      </c>
      <c r="X109">
        <f t="shared" si="5"/>
        <v>1.0194027183375537E-3</v>
      </c>
    </row>
    <row r="110" spans="2:24" x14ac:dyDescent="0.25">
      <c r="B110" s="1">
        <v>45681</v>
      </c>
      <c r="C110">
        <v>444.06</v>
      </c>
      <c r="D110">
        <f t="shared" si="3"/>
        <v>-5.9499260591469177E-3</v>
      </c>
      <c r="L110" s="1">
        <v>45681</v>
      </c>
      <c r="M110">
        <v>222.78</v>
      </c>
      <c r="N110">
        <f t="shared" si="4"/>
        <v>-3.9423041829985839E-3</v>
      </c>
      <c r="V110" s="1">
        <v>45681</v>
      </c>
      <c r="W110">
        <v>142.62</v>
      </c>
      <c r="X110">
        <f t="shared" si="5"/>
        <v>-3.1744316030402252E-2</v>
      </c>
    </row>
    <row r="111" spans="2:24" x14ac:dyDescent="0.25">
      <c r="B111" s="1">
        <v>45684</v>
      </c>
      <c r="C111">
        <v>434.56</v>
      </c>
      <c r="D111">
        <f t="shared" si="3"/>
        <v>-2.1625663507153406E-2</v>
      </c>
      <c r="L111" s="1">
        <v>45684</v>
      </c>
      <c r="M111">
        <v>229.86</v>
      </c>
      <c r="N111">
        <f t="shared" si="4"/>
        <v>3.1285690523568978E-2</v>
      </c>
      <c r="V111" s="1">
        <v>45684</v>
      </c>
      <c r="W111">
        <v>118.42</v>
      </c>
      <c r="X111">
        <f t="shared" si="5"/>
        <v>-0.18594612349652748</v>
      </c>
    </row>
    <row r="112" spans="2:24" x14ac:dyDescent="0.25">
      <c r="B112" s="1">
        <v>45685</v>
      </c>
      <c r="C112">
        <v>447.2</v>
      </c>
      <c r="D112">
        <f t="shared" si="3"/>
        <v>2.8671896910612688E-2</v>
      </c>
      <c r="L112" s="1">
        <v>45685</v>
      </c>
      <c r="M112">
        <v>238.26</v>
      </c>
      <c r="N112">
        <f t="shared" si="4"/>
        <v>3.5892086430602384E-2</v>
      </c>
      <c r="V112" s="1">
        <v>45685</v>
      </c>
      <c r="W112">
        <v>128.99</v>
      </c>
      <c r="X112">
        <f t="shared" si="5"/>
        <v>8.5497254873414752E-2</v>
      </c>
    </row>
    <row r="113" spans="2:24" x14ac:dyDescent="0.25">
      <c r="B113" s="1">
        <v>45686</v>
      </c>
      <c r="C113">
        <v>442.33</v>
      </c>
      <c r="D113">
        <f t="shared" si="3"/>
        <v>-1.0949712000212162E-2</v>
      </c>
      <c r="L113" s="1">
        <v>45686</v>
      </c>
      <c r="M113">
        <v>239.36</v>
      </c>
      <c r="N113">
        <f t="shared" si="4"/>
        <v>4.6061804148975023E-3</v>
      </c>
      <c r="V113" s="1">
        <v>45686</v>
      </c>
      <c r="W113">
        <v>123.7</v>
      </c>
      <c r="X113">
        <f t="shared" si="5"/>
        <v>-4.1875602578602553E-2</v>
      </c>
    </row>
    <row r="114" spans="2:24" x14ac:dyDescent="0.25">
      <c r="B114" s="1">
        <v>45687</v>
      </c>
      <c r="C114">
        <v>414.99</v>
      </c>
      <c r="D114">
        <f t="shared" si="3"/>
        <v>-6.3801786285843556E-2</v>
      </c>
      <c r="L114" s="1">
        <v>45687</v>
      </c>
      <c r="M114">
        <v>237.59</v>
      </c>
      <c r="N114">
        <f t="shared" si="4"/>
        <v>-7.4221957254156003E-3</v>
      </c>
      <c r="V114" s="1">
        <v>45687</v>
      </c>
      <c r="W114">
        <v>124.65</v>
      </c>
      <c r="X114">
        <f t="shared" si="5"/>
        <v>7.6505305711246667E-3</v>
      </c>
    </row>
    <row r="115" spans="2:24" x14ac:dyDescent="0.25">
      <c r="B115" s="1">
        <v>45688</v>
      </c>
      <c r="C115">
        <v>415.06</v>
      </c>
      <c r="D115">
        <f t="shared" si="3"/>
        <v>1.6866453868067421E-4</v>
      </c>
      <c r="L115" s="1">
        <v>45688</v>
      </c>
      <c r="M115">
        <v>236</v>
      </c>
      <c r="N115">
        <f t="shared" si="4"/>
        <v>-6.714694035086833E-3</v>
      </c>
      <c r="V115" s="1">
        <v>45688</v>
      </c>
      <c r="W115">
        <v>120.07</v>
      </c>
      <c r="X115">
        <f t="shared" si="5"/>
        <v>-3.743490392694037E-2</v>
      </c>
    </row>
    <row r="116" spans="2:24" x14ac:dyDescent="0.25">
      <c r="B116" s="1">
        <v>45691</v>
      </c>
      <c r="C116">
        <v>410.92</v>
      </c>
      <c r="D116">
        <f t="shared" si="3"/>
        <v>-1.0024539745451297E-2</v>
      </c>
      <c r="L116" s="1">
        <v>45691</v>
      </c>
      <c r="M116">
        <v>228.01</v>
      </c>
      <c r="N116">
        <f t="shared" si="4"/>
        <v>-3.4442317383852845E-2</v>
      </c>
      <c r="V116" s="1">
        <v>45691</v>
      </c>
      <c r="W116">
        <v>116.66</v>
      </c>
      <c r="X116">
        <f t="shared" si="5"/>
        <v>-2.8811184717135074E-2</v>
      </c>
    </row>
    <row r="117" spans="2:24" x14ac:dyDescent="0.25">
      <c r="B117" s="1">
        <v>45692</v>
      </c>
      <c r="C117">
        <v>412.37</v>
      </c>
      <c r="D117">
        <f t="shared" si="3"/>
        <v>3.5224562408462663E-3</v>
      </c>
      <c r="L117" s="1">
        <v>45692</v>
      </c>
      <c r="M117">
        <v>232.8</v>
      </c>
      <c r="N117">
        <f t="shared" si="4"/>
        <v>2.0790228215525564E-2</v>
      </c>
      <c r="V117" s="1">
        <v>45692</v>
      </c>
      <c r="W117">
        <v>118.65</v>
      </c>
      <c r="X117">
        <f t="shared" si="5"/>
        <v>1.6914261556281014E-2</v>
      </c>
    </row>
    <row r="118" spans="2:24" x14ac:dyDescent="0.25">
      <c r="B118" s="1">
        <v>45693</v>
      </c>
      <c r="C118">
        <v>413.29</v>
      </c>
      <c r="D118">
        <f t="shared" si="3"/>
        <v>2.2285211364244705E-3</v>
      </c>
      <c r="L118" s="1">
        <v>45693</v>
      </c>
      <c r="M118">
        <v>232.47</v>
      </c>
      <c r="N118">
        <f t="shared" si="4"/>
        <v>-1.4185314133143574E-3</v>
      </c>
      <c r="V118" s="1">
        <v>45693</v>
      </c>
      <c r="W118">
        <v>124.83</v>
      </c>
      <c r="X118">
        <f t="shared" si="5"/>
        <v>5.0774828781187074E-2</v>
      </c>
    </row>
    <row r="119" spans="2:24" x14ac:dyDescent="0.25">
      <c r="B119" s="1">
        <v>45694</v>
      </c>
      <c r="C119">
        <v>415.82</v>
      </c>
      <c r="D119">
        <f t="shared" si="3"/>
        <v>6.1029485899084931E-3</v>
      </c>
      <c r="L119" s="1">
        <v>45694</v>
      </c>
      <c r="M119">
        <v>233.22</v>
      </c>
      <c r="N119">
        <f t="shared" si="4"/>
        <v>3.2210296482183117E-3</v>
      </c>
      <c r="V119" s="1">
        <v>45694</v>
      </c>
      <c r="W119">
        <v>128.68</v>
      </c>
      <c r="X119">
        <f t="shared" si="5"/>
        <v>3.0375890707866154E-2</v>
      </c>
    </row>
    <row r="120" spans="2:24" x14ac:dyDescent="0.25">
      <c r="B120" s="1">
        <v>45695</v>
      </c>
      <c r="C120">
        <v>409.75</v>
      </c>
      <c r="D120">
        <f t="shared" si="3"/>
        <v>-1.4705256691303348E-2</v>
      </c>
      <c r="L120" s="1">
        <v>45695</v>
      </c>
      <c r="M120">
        <v>227.63</v>
      </c>
      <c r="N120">
        <f t="shared" si="4"/>
        <v>-2.4260710332889599E-2</v>
      </c>
      <c r="V120" s="1">
        <v>45695</v>
      </c>
      <c r="W120">
        <v>129.84</v>
      </c>
      <c r="X120">
        <f t="shared" si="5"/>
        <v>8.974220835510088E-3</v>
      </c>
    </row>
    <row r="121" spans="2:24" x14ac:dyDescent="0.25">
      <c r="B121" s="1">
        <v>45698</v>
      </c>
      <c r="C121">
        <v>412.22</v>
      </c>
      <c r="D121">
        <f t="shared" si="3"/>
        <v>6.0099697912124102E-3</v>
      </c>
      <c r="L121" s="1">
        <v>45698</v>
      </c>
      <c r="M121">
        <v>227.65</v>
      </c>
      <c r="N121">
        <f t="shared" si="4"/>
        <v>8.7858021493861051E-5</v>
      </c>
      <c r="V121" s="1">
        <v>45698</v>
      </c>
      <c r="W121">
        <v>133.57</v>
      </c>
      <c r="X121">
        <f t="shared" si="5"/>
        <v>2.8322761782678136E-2</v>
      </c>
    </row>
    <row r="122" spans="2:24" x14ac:dyDescent="0.25">
      <c r="B122" s="1">
        <v>45699</v>
      </c>
      <c r="C122">
        <v>411.44</v>
      </c>
      <c r="D122">
        <f t="shared" si="3"/>
        <v>-1.8939859484906557E-3</v>
      </c>
      <c r="L122" s="1">
        <v>45699</v>
      </c>
      <c r="M122">
        <v>232.62</v>
      </c>
      <c r="N122">
        <f t="shared" si="4"/>
        <v>2.1596859130101596E-2</v>
      </c>
      <c r="V122" s="1">
        <v>45699</v>
      </c>
      <c r="W122">
        <v>132.80000000000001</v>
      </c>
      <c r="X122">
        <f t="shared" si="5"/>
        <v>-5.7814479466803586E-3</v>
      </c>
    </row>
    <row r="123" spans="2:24" x14ac:dyDescent="0.25">
      <c r="B123" s="1">
        <v>45700</v>
      </c>
      <c r="C123">
        <v>409.04</v>
      </c>
      <c r="D123">
        <f t="shared" si="3"/>
        <v>-5.8502506949169517E-3</v>
      </c>
      <c r="L123" s="1">
        <v>45700</v>
      </c>
      <c r="M123">
        <v>236.87</v>
      </c>
      <c r="N123">
        <f t="shared" si="4"/>
        <v>1.810524652359782E-2</v>
      </c>
      <c r="V123" s="1">
        <v>45700</v>
      </c>
      <c r="W123">
        <v>131.13999999999999</v>
      </c>
      <c r="X123">
        <f t="shared" si="5"/>
        <v>-1.2578782206860298E-2</v>
      </c>
    </row>
    <row r="124" spans="2:24" x14ac:dyDescent="0.25">
      <c r="B124" s="1">
        <v>45701</v>
      </c>
      <c r="C124">
        <v>410.54</v>
      </c>
      <c r="D124">
        <f t="shared" si="3"/>
        <v>3.6604155172889801E-3</v>
      </c>
      <c r="L124" s="1">
        <v>45701</v>
      </c>
      <c r="M124">
        <v>241.53</v>
      </c>
      <c r="N124">
        <f t="shared" si="4"/>
        <v>1.9482221545508639E-2</v>
      </c>
      <c r="V124" s="1">
        <v>45701</v>
      </c>
      <c r="W124">
        <v>135.29</v>
      </c>
      <c r="X124">
        <f t="shared" si="5"/>
        <v>3.1155167779795479E-2</v>
      </c>
    </row>
    <row r="125" spans="2:24" x14ac:dyDescent="0.25">
      <c r="B125" s="1">
        <v>45702</v>
      </c>
      <c r="C125">
        <v>408.43</v>
      </c>
      <c r="D125">
        <f t="shared" si="3"/>
        <v>-5.15282530167358E-3</v>
      </c>
      <c r="L125" s="1">
        <v>45702</v>
      </c>
      <c r="M125">
        <v>244.6</v>
      </c>
      <c r="N125">
        <f t="shared" si="4"/>
        <v>1.2630534273072785E-2</v>
      </c>
      <c r="V125" s="1">
        <v>45702</v>
      </c>
      <c r="W125">
        <v>138.85</v>
      </c>
      <c r="X125">
        <f t="shared" si="5"/>
        <v>2.5973591137539755E-2</v>
      </c>
    </row>
    <row r="126" spans="2:24" x14ac:dyDescent="0.25">
      <c r="B126" s="1">
        <v>45706</v>
      </c>
      <c r="C126">
        <v>409.64</v>
      </c>
      <c r="D126">
        <f t="shared" si="3"/>
        <v>2.9581842198776473E-3</v>
      </c>
      <c r="L126" s="1">
        <v>45706</v>
      </c>
      <c r="M126">
        <v>244.47</v>
      </c>
      <c r="N126">
        <f t="shared" si="4"/>
        <v>-5.3162125283384893E-4</v>
      </c>
      <c r="V126" s="1">
        <v>45706</v>
      </c>
      <c r="W126">
        <v>139.4</v>
      </c>
      <c r="X126">
        <f t="shared" si="5"/>
        <v>3.953284573615142E-3</v>
      </c>
    </row>
    <row r="127" spans="2:24" x14ac:dyDescent="0.25">
      <c r="B127" s="1">
        <v>45707</v>
      </c>
      <c r="C127">
        <v>414.77</v>
      </c>
      <c r="D127">
        <f t="shared" si="3"/>
        <v>1.24454245210562E-2</v>
      </c>
      <c r="L127" s="1">
        <v>45707</v>
      </c>
      <c r="M127">
        <v>244.87</v>
      </c>
      <c r="N127">
        <f t="shared" si="4"/>
        <v>1.6348554750960618E-3</v>
      </c>
      <c r="V127" s="1">
        <v>45707</v>
      </c>
      <c r="W127">
        <v>139.22999999999999</v>
      </c>
      <c r="X127">
        <f t="shared" si="5"/>
        <v>-1.2202564052294857E-3</v>
      </c>
    </row>
    <row r="128" spans="2:24" x14ac:dyDescent="0.25">
      <c r="B128" s="1">
        <v>45708</v>
      </c>
      <c r="C128">
        <v>416.13</v>
      </c>
      <c r="D128">
        <f t="shared" si="3"/>
        <v>3.2735617150155796E-3</v>
      </c>
      <c r="L128" s="1">
        <v>45708</v>
      </c>
      <c r="M128">
        <v>245.83</v>
      </c>
      <c r="N128">
        <f t="shared" si="4"/>
        <v>3.9127826565687213E-3</v>
      </c>
      <c r="V128" s="1">
        <v>45708</v>
      </c>
      <c r="W128">
        <v>140.11000000000001</v>
      </c>
      <c r="X128">
        <f>LN(W128/W127)</f>
        <v>6.3005864619461423E-3</v>
      </c>
    </row>
  </sheetData>
  <mergeCells count="5">
    <mergeCell ref="BG2:BG3"/>
    <mergeCell ref="BD6:BE6"/>
    <mergeCell ref="BC16:BD16"/>
    <mergeCell ref="BC23:BD23"/>
    <mergeCell ref="BC24:BD2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03EFC6982A3E49B93B844C7FCD583B" ma:contentTypeVersion="14" ma:contentTypeDescription="Create a new document." ma:contentTypeScope="" ma:versionID="ae91c1da8ed127e8ba613a30ae547698">
  <xsd:schema xmlns:xsd="http://www.w3.org/2001/XMLSchema" xmlns:xs="http://www.w3.org/2001/XMLSchema" xmlns:p="http://schemas.microsoft.com/office/2006/metadata/properties" xmlns:ns3="b7be8240-149b-427d-8eba-7bb1ff6225dd" xmlns:ns4="869da506-bace-44af-a899-86cec871751e" targetNamespace="http://schemas.microsoft.com/office/2006/metadata/properties" ma:root="true" ma:fieldsID="1caa81906be9a4a287f50d572acf188f" ns3:_="" ns4:_="">
    <xsd:import namespace="b7be8240-149b-427d-8eba-7bb1ff6225dd"/>
    <xsd:import namespace="869da506-bace-44af-a899-86cec871751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3:MediaServiceSearchProperties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be8240-149b-427d-8eba-7bb1ff6225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9da506-bace-44af-a899-86cec871751e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7be8240-149b-427d-8eba-7bb1ff6225dd" xsi:nil="true"/>
  </documentManagement>
</p:properties>
</file>

<file path=customXml/itemProps1.xml><?xml version="1.0" encoding="utf-8"?>
<ds:datastoreItem xmlns:ds="http://schemas.openxmlformats.org/officeDocument/2006/customXml" ds:itemID="{351F0278-A23D-4F63-8A11-81584EB30E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814-924B-41E3-8975-178126B598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7be8240-149b-427d-8eba-7bb1ff6225dd"/>
    <ds:schemaRef ds:uri="869da506-bace-44af-a899-86cec87175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F72CD0D-5027-43B2-B79A-5E7EC414C89A}">
  <ds:schemaRefs>
    <ds:schemaRef ds:uri="http://schemas.microsoft.com/office/2006/metadata/properties"/>
    <ds:schemaRef ds:uri="http://purl.org/dc/dcmitype/"/>
    <ds:schemaRef ds:uri="http://schemas.microsoft.com/office/infopath/2007/PartnerControls"/>
    <ds:schemaRef ds:uri="869da506-bace-44af-a899-86cec871751e"/>
    <ds:schemaRef ds:uri="http://purl.org/dc/terms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b7be8240-149b-427d-8eba-7bb1ff6225d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Microsoft</vt:lpstr>
      <vt:lpstr>Apple</vt:lpstr>
      <vt:lpstr>Nvidia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Farnam Amanati</cp:lastModifiedBy>
  <dcterms:created xsi:type="dcterms:W3CDTF">2025-02-21T15:35:10Z</dcterms:created>
  <dcterms:modified xsi:type="dcterms:W3CDTF">2025-03-12T00:39:09Z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0x010100B603EFC6982A3E49B93B844C7FCD583B</vt:lpwstr>
  </property>
</Properties>
</file>